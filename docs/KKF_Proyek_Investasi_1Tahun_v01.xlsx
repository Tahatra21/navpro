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andiervansurahmat/Downloads/"/>
    </mc:Choice>
  </mc:AlternateContent>
  <xr:revisionPtr revIDLastSave="0" documentId="8_{A4F081A5-0B86-B84B-A961-9460AFB64B21}" xr6:coauthVersionLast="47" xr6:coauthVersionMax="47" xr10:uidLastSave="{00000000-0000-0000-0000-000000000000}"/>
  <bookViews>
    <workbookView xWindow="0" yWindow="660" windowWidth="30240" windowHeight="18980" tabRatio="500" activeTab="7" xr2:uid="{00000000-000D-0000-FFFF-FFFF00000000}"/>
  </bookViews>
  <sheets>
    <sheet name="00_Histori" sheetId="1" r:id="rId1"/>
    <sheet name="01_Menu" sheetId="2" r:id="rId2"/>
    <sheet name="02_Inv_Details" sheetId="3" r:id="rId3"/>
    <sheet name="03_CAPEX" sheetId="4" r:id="rId4"/>
    <sheet name="04_OPEX_Bulanan" sheetId="5" r:id="rId5"/>
    <sheet name="05_Pendapatan" sheetId="6" r:id="rId6"/>
    <sheet name="06_Asumsi" sheetId="7" r:id="rId7"/>
    <sheet name="07_Cashflow_Bulanan" sheetId="8" r:id="rId8"/>
    <sheet name="08_Ex_Summ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2" i="9" l="1"/>
  <c r="E42" i="9"/>
  <c r="C42" i="9"/>
  <c r="G12" i="9"/>
  <c r="D12" i="9"/>
  <c r="G11" i="9"/>
  <c r="D11" i="9"/>
  <c r="G10" i="9"/>
  <c r="D10" i="9"/>
  <c r="G9" i="9"/>
  <c r="D9" i="9"/>
  <c r="G8" i="9"/>
  <c r="D8" i="9"/>
  <c r="R19" i="8"/>
  <c r="Q19" i="8"/>
  <c r="P19" i="8"/>
  <c r="O19" i="8"/>
  <c r="N19" i="8"/>
  <c r="M19" i="8"/>
  <c r="L19" i="8"/>
  <c r="K19" i="8"/>
  <c r="J19" i="8"/>
  <c r="I19" i="8"/>
  <c r="H19" i="8"/>
  <c r="G19" i="8"/>
  <c r="F18" i="8"/>
  <c r="R14" i="8"/>
  <c r="Q14" i="8"/>
  <c r="P14" i="8"/>
  <c r="O14" i="8"/>
  <c r="N14" i="8"/>
  <c r="M14" i="8"/>
  <c r="L14" i="8"/>
  <c r="K14" i="8"/>
  <c r="J14" i="8"/>
  <c r="I14" i="8"/>
  <c r="H14" i="8"/>
  <c r="F14" i="8"/>
  <c r="F13" i="8"/>
  <c r="F15" i="8" s="1"/>
  <c r="N10" i="8"/>
  <c r="M10" i="8"/>
  <c r="K10" i="8"/>
  <c r="F10" i="8"/>
  <c r="N9" i="8"/>
  <c r="F9" i="8"/>
  <c r="I9" i="8" s="1"/>
  <c r="L5" i="8"/>
  <c r="I5" i="8"/>
  <c r="F5" i="8"/>
  <c r="P10" i="8" s="1"/>
  <c r="D11" i="7"/>
  <c r="I5" i="5" s="1"/>
  <c r="D6" i="7"/>
  <c r="I20" i="6"/>
  <c r="D17" i="9" s="1"/>
  <c r="J19" i="6"/>
  <c r="J18" i="6"/>
  <c r="J17" i="6"/>
  <c r="J16" i="6"/>
  <c r="J15" i="6"/>
  <c r="J14" i="6"/>
  <c r="J13" i="6"/>
  <c r="J12" i="6"/>
  <c r="J11" i="6"/>
  <c r="J10" i="6"/>
  <c r="J9" i="6"/>
  <c r="J8" i="6"/>
  <c r="J20" i="6" s="1"/>
  <c r="D11" i="4"/>
  <c r="D16" i="3"/>
  <c r="D10" i="4" s="1"/>
  <c r="D8" i="4" s="1"/>
  <c r="D20" i="4" s="1"/>
  <c r="F5" i="3"/>
  <c r="H53" i="2"/>
  <c r="E53" i="2"/>
  <c r="C53" i="2"/>
  <c r="C28" i="2"/>
  <c r="C11" i="2"/>
  <c r="D13" i="9" s="1"/>
  <c r="D16" i="9" l="1"/>
  <c r="F19" i="8"/>
  <c r="C27" i="2"/>
  <c r="P13" i="8"/>
  <c r="P15" i="8" s="1"/>
  <c r="F5" i="5"/>
  <c r="C29" i="2"/>
  <c r="D18" i="9"/>
  <c r="M13" i="8"/>
  <c r="M15" i="8" s="1"/>
  <c r="J9" i="8"/>
  <c r="G10" i="8"/>
  <c r="Q10" i="8"/>
  <c r="N13" i="8"/>
  <c r="N15" i="8" s="1"/>
  <c r="K9" i="8"/>
  <c r="H10" i="8"/>
  <c r="R10" i="8"/>
  <c r="Q9" i="8"/>
  <c r="L9" i="8"/>
  <c r="I10" i="8"/>
  <c r="F20" i="8"/>
  <c r="F22" i="8" s="1"/>
  <c r="P9" i="8"/>
  <c r="G9" i="8"/>
  <c r="K13" i="8"/>
  <c r="K15" i="8" s="1"/>
  <c r="M9" i="8"/>
  <c r="J10" i="8"/>
  <c r="O9" i="8"/>
  <c r="L10" i="8"/>
  <c r="H9" i="8"/>
  <c r="R9" i="8"/>
  <c r="O10" i="8"/>
  <c r="F23" i="8" l="1"/>
  <c r="O13" i="8"/>
  <c r="O15" i="8" s="1"/>
  <c r="S19" i="8"/>
  <c r="L13" i="8"/>
  <c r="L15" i="8" s="1"/>
  <c r="J13" i="8"/>
  <c r="J15" i="8" s="1"/>
  <c r="R13" i="8"/>
  <c r="R15" i="8" s="1"/>
  <c r="E11" i="5"/>
  <c r="E14" i="5"/>
  <c r="E9" i="5"/>
  <c r="E12" i="5"/>
  <c r="E10" i="5"/>
  <c r="E13" i="5"/>
  <c r="E8" i="5"/>
  <c r="Q13" i="8"/>
  <c r="Q15" i="8" s="1"/>
  <c r="G13" i="8"/>
  <c r="G14" i="8"/>
  <c r="S14" i="8" s="1"/>
  <c r="I13" i="8"/>
  <c r="I15" i="8" s="1"/>
  <c r="H13" i="8"/>
  <c r="H15" i="8" s="1"/>
  <c r="C31" i="2" l="1"/>
  <c r="D20" i="9"/>
  <c r="Q9" i="5"/>
  <c r="G9" i="5"/>
  <c r="P9" i="5"/>
  <c r="F9" i="5"/>
  <c r="M9" i="5"/>
  <c r="K9" i="5"/>
  <c r="J9" i="5"/>
  <c r="I9" i="5"/>
  <c r="O9" i="5"/>
  <c r="N9" i="5"/>
  <c r="H9" i="5"/>
  <c r="L9" i="5"/>
  <c r="K11" i="5"/>
  <c r="J11" i="5"/>
  <c r="Q11" i="5"/>
  <c r="G11" i="5"/>
  <c r="O11" i="5"/>
  <c r="N11" i="5"/>
  <c r="M11" i="5"/>
  <c r="I11" i="5"/>
  <c r="H11" i="5"/>
  <c r="L11" i="5"/>
  <c r="F11" i="5"/>
  <c r="P11" i="5"/>
  <c r="H12" i="5"/>
  <c r="Q12" i="5"/>
  <c r="G12" i="5"/>
  <c r="N12" i="5"/>
  <c r="L12" i="5"/>
  <c r="K12" i="5"/>
  <c r="J12" i="5"/>
  <c r="P12" i="5"/>
  <c r="O12" i="5"/>
  <c r="F12" i="5"/>
  <c r="I12" i="5"/>
  <c r="M12" i="5"/>
  <c r="S13" i="8"/>
  <c r="G15" i="8"/>
  <c r="L14" i="5"/>
  <c r="K14" i="5"/>
  <c r="H14" i="5"/>
  <c r="P14" i="5"/>
  <c r="F14" i="5"/>
  <c r="O14" i="5"/>
  <c r="N14" i="5"/>
  <c r="J14" i="5"/>
  <c r="I14" i="5"/>
  <c r="M14" i="5"/>
  <c r="Q14" i="5"/>
  <c r="G14" i="5"/>
  <c r="J8" i="5"/>
  <c r="Q8" i="5"/>
  <c r="I8" i="5"/>
  <c r="P8" i="5"/>
  <c r="F8" i="5"/>
  <c r="N8" i="5"/>
  <c r="M8" i="5"/>
  <c r="L8" i="5"/>
  <c r="H8" i="5"/>
  <c r="G8" i="5"/>
  <c r="K8" i="5"/>
  <c r="O8" i="5"/>
  <c r="D21" i="9"/>
  <c r="C32" i="2"/>
  <c r="O13" i="5"/>
  <c r="N13" i="5"/>
  <c r="K13" i="5"/>
  <c r="I13" i="5"/>
  <c r="H13" i="5"/>
  <c r="Q13" i="5"/>
  <c r="G13" i="5"/>
  <c r="L13" i="5"/>
  <c r="M13" i="5"/>
  <c r="P13" i="5"/>
  <c r="F13" i="5"/>
  <c r="J13" i="5"/>
  <c r="N10" i="5"/>
  <c r="K10" i="5"/>
  <c r="M10" i="5"/>
  <c r="J10" i="5"/>
  <c r="H10" i="5"/>
  <c r="Q10" i="5"/>
  <c r="G10" i="5"/>
  <c r="P10" i="5"/>
  <c r="F10" i="5"/>
  <c r="L10" i="5"/>
  <c r="O10" i="5"/>
  <c r="I10" i="5"/>
  <c r="P15" i="5" l="1"/>
  <c r="Q18" i="8" s="1"/>
  <c r="Q20" i="8" s="1"/>
  <c r="Q22" i="8" s="1"/>
  <c r="F15" i="5"/>
  <c r="N15" i="5"/>
  <c r="O18" i="8" s="1"/>
  <c r="O20" i="8" s="1"/>
  <c r="O22" i="8" s="1"/>
  <c r="Q15" i="5"/>
  <c r="R18" i="8" s="1"/>
  <c r="R20" i="8" s="1"/>
  <c r="R22" i="8" s="1"/>
  <c r="H15" i="5"/>
  <c r="I18" i="8" s="1"/>
  <c r="I20" i="8" s="1"/>
  <c r="I22" i="8" s="1"/>
  <c r="I15" i="5"/>
  <c r="J18" i="8" s="1"/>
  <c r="J20" i="8" s="1"/>
  <c r="J22" i="8" s="1"/>
  <c r="K15" i="5"/>
  <c r="L18" i="8" s="1"/>
  <c r="L20" i="8" s="1"/>
  <c r="L22" i="8" s="1"/>
  <c r="L15" i="5"/>
  <c r="M18" i="8" s="1"/>
  <c r="M20" i="8" s="1"/>
  <c r="M22" i="8" s="1"/>
  <c r="S15" i="8"/>
  <c r="N29" i="8"/>
  <c r="G18" i="8"/>
  <c r="O15" i="5"/>
  <c r="P18" i="8" s="1"/>
  <c r="P20" i="8" s="1"/>
  <c r="P22" i="8" s="1"/>
  <c r="J15" i="5"/>
  <c r="K18" i="8" s="1"/>
  <c r="K20" i="8" s="1"/>
  <c r="K22" i="8" s="1"/>
  <c r="G15" i="5"/>
  <c r="H18" i="8" s="1"/>
  <c r="H20" i="8" s="1"/>
  <c r="H22" i="8" s="1"/>
  <c r="M15" i="5"/>
  <c r="N18" i="8" s="1"/>
  <c r="N20" i="8" s="1"/>
  <c r="N22" i="8" s="1"/>
  <c r="C30" i="2" l="1"/>
  <c r="D19" i="9"/>
  <c r="D28" i="9"/>
  <c r="G28" i="9" s="1"/>
  <c r="D39" i="2"/>
  <c r="H39" i="2" s="1"/>
  <c r="G20" i="8"/>
  <c r="S18" i="8"/>
  <c r="S20" i="8" l="1"/>
  <c r="G22" i="8"/>
  <c r="S22" i="8" l="1"/>
  <c r="N28" i="8"/>
  <c r="N31" i="8"/>
  <c r="N27" i="8"/>
  <c r="G23" i="8"/>
  <c r="H23" i="8" s="1"/>
  <c r="I23" i="8" s="1"/>
  <c r="J23" i="8" s="1"/>
  <c r="K23" i="8" s="1"/>
  <c r="L23" i="8" s="1"/>
  <c r="M23" i="8" s="1"/>
  <c r="N23" i="8" s="1"/>
  <c r="O23" i="8" l="1"/>
  <c r="P23" i="8" s="1"/>
  <c r="Q23" i="8" s="1"/>
  <c r="R23" i="8" s="1"/>
  <c r="N30" i="8"/>
  <c r="D26" i="9"/>
  <c r="G26" i="9" s="1"/>
  <c r="D37" i="2"/>
  <c r="D30" i="9"/>
  <c r="G30" i="9" s="1"/>
  <c r="D41" i="2"/>
  <c r="H41" i="2" s="1"/>
  <c r="D27" i="9"/>
  <c r="G27" i="9" s="1"/>
  <c r="D38" i="2"/>
  <c r="H38" i="2" s="1"/>
  <c r="D22" i="9"/>
  <c r="C33" i="2"/>
  <c r="H37" i="2" l="1"/>
  <c r="D40" i="2"/>
  <c r="H40" i="2" s="1"/>
  <c r="D29" i="9"/>
  <c r="G29" i="9" s="1"/>
  <c r="B44" i="2" l="1"/>
  <c r="B33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tc={E058C2E8-4DCB-564E-BC52-C35EC0A6781E}</author>
  </authors>
  <commentList>
    <comment ref="I20" authorId="0" shapeId="0" xr:uid="{E058C2E8-4DCB-564E-BC52-C35EC0A6781E}">
      <text>
        <t>[Threaded comment]
Your version of Excel allows you to read this threaded comment; however, any edits to it will get removed if the file is opened in a newer version of Excel. Learn more: https://go.microsoft.com/fwlink/?linkid=870924
Comment:
    ini yang akan jadi goalseek untuk mendapatkan harga bulanan untuk komponen last mile</t>
      </text>
    </comment>
  </commentList>
</comments>
</file>

<file path=xl/sharedStrings.xml><?xml version="1.0" encoding="utf-8"?>
<sst xmlns="http://schemas.openxmlformats.org/spreadsheetml/2006/main" count="430" uniqueCount="324">
  <si>
    <t>REVISION HISTORY</t>
  </si>
  <si>
    <t>No</t>
  </si>
  <si>
    <t>Tanggal (dd-mm-yyyy)</t>
  </si>
  <si>
    <t>Oleh (init)</t>
  </si>
  <si>
    <t>Deskripsi Perubahan</t>
  </si>
  <si>
    <t>Claude</t>
  </si>
  <si>
    <t>Template KKF Proyek Investasi 1-Tahun dibuat sebagai pendamping KKF Proyek Investasi multi-year. Struktur: monthly cashflow + XIRR (annualized). Sudah include fix dari audit: PPN 12%, BCR check di conclusion, CAPEX D19 include semua section, working capital int yg di-link.</t>
  </si>
  <si>
    <t>KKF PROYEK INVESTASI 1-TAHUN</t>
  </si>
  <si>
    <t>Kajian Kelayakan Finansial untuk kontrak Connectivity short-term (≤ 12 bulan) — basis XIRR bulanan</t>
  </si>
  <si>
    <t>⚠️ TEMPLATE BERISI SAMPLE DATA (CAPEX 21M, Sewa 5M, OTC 1.5M, OPEX 30%) — GANTI DENGAN DATA AKTUAL PROYEK ANDA</t>
  </si>
  <si>
    <t>A. IDENTITAS PROYEK (input)</t>
  </si>
  <si>
    <t>Nama Project</t>
  </si>
  <si>
    <t>(Isi nama proyek)</t>
  </si>
  <si>
    <t>Sama dengan SP2K / SPH</t>
  </si>
  <si>
    <t>Nama Pelanggan</t>
  </si>
  <si>
    <t>(Isi nama pelanggan)</t>
  </si>
  <si>
    <t>Match dengan NPWP</t>
  </si>
  <si>
    <t>Nomor Kontrak / BAKBB</t>
  </si>
  <si>
    <t>Jika sudah ada</t>
  </si>
  <si>
    <t>Tanggal Mulai Layanan</t>
  </si>
  <si>
    <t>dd-mmm-yyyy</t>
  </si>
  <si>
    <t>Durasi Kontrak (bulan)</t>
  </si>
  <si>
    <t>Max 12 untuk template ini</t>
  </si>
  <si>
    <t>Tanggal Akhir Layanan</t>
  </si>
  <si>
    <t>Auto dari Start + Durasi</t>
  </si>
  <si>
    <t>PIC Sales</t>
  </si>
  <si>
    <t>(Nama Sales)</t>
  </si>
  <si>
    <t>PIC Solution Architect</t>
  </si>
  <si>
    <t>Solar</t>
  </si>
  <si>
    <t>Bidang / Manager</t>
  </si>
  <si>
    <t>(Nama Manager)</t>
  </si>
  <si>
    <t>GM / SRM</t>
  </si>
  <si>
    <t>(Nama GM)</t>
  </si>
  <si>
    <t>B. URUTAN PENGISIAN (klik link untuk navigasi)</t>
  </si>
  <si>
    <t>Step 1</t>
  </si>
  <si>
    <t>Isi RAB Lastmile (8 item std)</t>
  </si>
  <si>
    <t>→ Buka 02_Inv_Details</t>
  </si>
  <si>
    <t>Step 2</t>
  </si>
  <si>
    <t>Mapping CAPEX (kategori standar)</t>
  </si>
  <si>
    <t>→ Buka 03_CAPEX</t>
  </si>
  <si>
    <t>Step 3</t>
  </si>
  <si>
    <t>Isi OPEX Bulanan (12 kolom)</t>
  </si>
  <si>
    <t>→ Buka 04_OPEX_Bulanan</t>
  </si>
  <si>
    <t>Step 4</t>
  </si>
  <si>
    <t>Isi Pendapatan (sewa per bulan + OTC)</t>
  </si>
  <si>
    <t>→ Buka 05_Pendapatan</t>
  </si>
  <si>
    <t>Step 5</t>
  </si>
  <si>
    <t>Review Asumsi (PPN, WACC, kurs)</t>
  </si>
  <si>
    <t>→ Buka 06_Asumsi</t>
  </si>
  <si>
    <t>Step 6</t>
  </si>
  <si>
    <t>Cek Cashflow Bulanan &amp; Decision Metrics</t>
  </si>
  <si>
    <t>→ Buka 07_Cashflow_Bulanan</t>
  </si>
  <si>
    <t>Step 7</t>
  </si>
  <si>
    <t>Generate Executive Summary untuk Approval</t>
  </si>
  <si>
    <t>→ Buka 08_Ex_Summary</t>
  </si>
  <si>
    <t>C. DASHBOARD KELAYAKAN (output otomatis)</t>
  </si>
  <si>
    <t>•</t>
  </si>
  <si>
    <t>Investasi awal (Month 0)</t>
  </si>
  <si>
    <t>Pendapatan one-time charge</t>
  </si>
  <si>
    <t>Total sewa bulanan dari pelanggan</t>
  </si>
  <si>
    <t>Rata-rata OPEX 12 bulan</t>
  </si>
  <si>
    <t>Sewa + OTC selama kontrak</t>
  </si>
  <si>
    <t>Total OPEX selama kontrak</t>
  </si>
  <si>
    <t>Sum inflow operasi minus CAPEX</t>
  </si>
  <si>
    <t>D. KPI KELAYAKAN (vs threshold)</t>
  </si>
  <si>
    <t>Metric</t>
  </si>
  <si>
    <t>Nilai</t>
  </si>
  <si>
    <t>Satuan</t>
  </si>
  <si>
    <t>Threshold</t>
  </si>
  <si>
    <t>Status</t>
  </si>
  <si>
    <t>Keterangan</t>
  </si>
  <si>
    <t>NPV (Net Present Value)</t>
  </si>
  <si>
    <t>Rp</t>
  </si>
  <si>
    <t>&gt; 0</t>
  </si>
  <si>
    <t>NPV positif = proyek menambah nilai</t>
  </si>
  <si>
    <t>XIRR (Annualized IRR)</t>
  </si>
  <si>
    <t>% p.a.</t>
  </si>
  <si>
    <t>&gt; WACC</t>
  </si>
  <si>
    <t>XIRR &gt; WACC = above cost of capital</t>
  </si>
  <si>
    <t>BCR / PI (Profitability Index)</t>
  </si>
  <si>
    <t>x</t>
  </si>
  <si>
    <t>≥ 1.08</t>
  </si>
  <si>
    <t>Threshold per Memo DirKeu 16/09/2025: Min 1.08, Mandatory 1.23</t>
  </si>
  <si>
    <t>Payback Period</t>
  </si>
  <si>
    <t>bulan</t>
  </si>
  <si>
    <t>&lt; durasi</t>
  </si>
  <si>
    <t>Balik modal harus &lt; durasi kontrak</t>
  </si>
  <si>
    <t>Simple ROI (kontrak)</t>
  </si>
  <si>
    <t>%</t>
  </si>
  <si>
    <t>&gt; 0%</t>
  </si>
  <si>
    <t>Total Net Inflow / CAPEX selama durasi</t>
  </si>
  <si>
    <t>E. KESIMPULAN OTOMATIS</t>
  </si>
  <si>
    <t>F. TANDA TANGAN</t>
  </si>
  <si>
    <t>Disiapkan oleh,</t>
  </si>
  <si>
    <t>Disetujui oleh,</t>
  </si>
  <si>
    <t>Mengetahui,</t>
  </si>
  <si>
    <t>Solution Architect</t>
  </si>
  <si>
    <t>Manager Pemasaran &amp; Penjualan</t>
  </si>
  <si>
    <t>Senior Regional Manager</t>
  </si>
  <si>
    <t>02 — RAB LASTMILE (Detail Investasi)</t>
  </si>
  <si>
    <t>Isi kolom D (Jumlah IDR) sesuai survey lapangan. Sel putih = input. Sel biru = auto-calculate.</t>
  </si>
  <si>
    <t>← Kembali ke Menu</t>
  </si>
  <si>
    <t>Nama Project:</t>
  </si>
  <si>
    <t>Items</t>
  </si>
  <si>
    <t>Jumlah (IDR)</t>
  </si>
  <si>
    <t>Catatan / Source</t>
  </si>
  <si>
    <t>Fiber Optic Cable (FOC) Lastmile</t>
  </si>
  <si>
    <t>Per meter × panjang lastmile (dari Calc RAB)</t>
  </si>
  <si>
    <t>Fiber Optic Terminal (FOT) Lastmile</t>
  </si>
  <si>
    <t>ODF / Joint Box / Pigtail</t>
  </si>
  <si>
    <t>Biaya perizinan (apabila ada)</t>
  </si>
  <si>
    <t>Sitac / RT-RW / KAK / dll</t>
  </si>
  <si>
    <t>Biaya Interkoneksi ke Jaringan pihak ketiga</t>
  </si>
  <si>
    <t>Jika cross network</t>
  </si>
  <si>
    <t>Biaya collocation perangkat</t>
  </si>
  <si>
    <t>Sewa rack/space di lokasi pihak ke-3</t>
  </si>
  <si>
    <t>Biaya tracing core</t>
  </si>
  <si>
    <t>Jika utilisasi core existing</t>
  </si>
  <si>
    <t>Biaya peningkatan kapasitas POP</t>
  </si>
  <si>
    <t>Upgrade switch/router POP jika diperlukan</t>
  </si>
  <si>
    <t>Sarana Penunjang</t>
  </si>
  <si>
    <t>Kabel patch, label, accessories, dll</t>
  </si>
  <si>
    <t>TOTAL RAB LASTMILE</t>
  </si>
  <si>
    <t>Catatan Khusus:</t>
  </si>
  <si>
    <t>1. Khusus untuk Rekonstruksi: WAJIB lampirkan evidence Realisasi SAP</t>
  </si>
  <si>
    <t>2. Pricing material → mengacu Harga SAP terkini (cek tanggal update di Calc RAB)</t>
  </si>
  <si>
    <t>3. Pricing jasa → mengacu KHS Amandemen 2024 (atau terbaru jika sudah ada)</t>
  </si>
  <si>
    <t>4. Jika RAB diisi dari Calc RAB Akv SBU: gunakan output INPUT!C42 sebagai referensi</t>
  </si>
  <si>
    <t>03 — TOTAL CAPITAL EXPENDITURE (CAPEX)</t>
  </si>
  <si>
    <t>Mapping investasi ke kategori standar. Sub-kategori 1.b auto-link dari 02_Inv_Details.</t>
  </si>
  <si>
    <t>Catatan</t>
  </si>
  <si>
    <t>1.</t>
  </si>
  <si>
    <t>CAPEX</t>
  </si>
  <si>
    <t>a</t>
  </si>
  <si>
    <t>Jaringan Kabel Optik</t>
  </si>
  <si>
    <t>Aerial / Underground</t>
  </si>
  <si>
    <t>b</t>
  </si>
  <si>
    <t>Perangkat Telekomunikasi</t>
  </si>
  <si>
    <t>Auto dari 02_Inv_Details total</t>
  </si>
  <si>
    <t>c</t>
  </si>
  <si>
    <t>Peralatan Teknologi Informasi (sub-total)</t>
  </si>
  <si>
    <t>Auto sum 3 sub items</t>
  </si>
  <si>
    <t xml:space="preserve">   - Perangkat Keras/Hardware</t>
  </si>
  <si>
    <t xml:space="preserve">   - Piranti Lunak/Software</t>
  </si>
  <si>
    <t xml:space="preserve">   - Lisensi</t>
  </si>
  <si>
    <t>d</t>
  </si>
  <si>
    <t>Lainnya (CAPEX)</t>
  </si>
  <si>
    <t>2.</t>
  </si>
  <si>
    <t>Project Management and Implementation</t>
  </si>
  <si>
    <t>PIC/PMO cost</t>
  </si>
  <si>
    <t>3.</t>
  </si>
  <si>
    <t>Biaya Investasi Lainnya</t>
  </si>
  <si>
    <t>Contingency, training, dll</t>
  </si>
  <si>
    <t>TOTAL BIAYA INVESTASI (CAPEX)</t>
  </si>
  <si>
    <t>✓ Sudah include Section 1, 2, 3 (fix dari template multi-year)</t>
  </si>
  <si>
    <t>04 — OPEX / O&amp;M BULANAN (12 Bulan)</t>
  </si>
  <si>
    <t>Isi koefisien (kolom D) atau langsung baseline (kolom E). Bulan 1-12 auto-calculate dengan inflasi bulanan kompound.</t>
  </si>
  <si>
    <t>Pendapatan/bulan (auto):</t>
  </si>
  <si>
    <t>Inflasi bulanan:</t>
  </si>
  <si>
    <t>Komponen Biaya</t>
  </si>
  <si>
    <t>Koef (%)</t>
  </si>
  <si>
    <t>Baseline/bulan (Rp)</t>
  </si>
  <si>
    <t>Bulan 1</t>
  </si>
  <si>
    <t>Bulan 2</t>
  </si>
  <si>
    <t>Bulan 3</t>
  </si>
  <si>
    <t>Bulan 4</t>
  </si>
  <si>
    <t>Bulan 5</t>
  </si>
  <si>
    <t>Bulan 6</t>
  </si>
  <si>
    <t>Bulan 7</t>
  </si>
  <si>
    <t>Bulan 8</t>
  </si>
  <si>
    <t>Bulan 9</t>
  </si>
  <si>
    <t>Bulan 10</t>
  </si>
  <si>
    <t>Bulan 11</t>
  </si>
  <si>
    <t>Bulan 12</t>
  </si>
  <si>
    <t>Overhead (% dari Pendapatan)</t>
  </si>
  <si>
    <t>Pemeliharaan rutin</t>
  </si>
  <si>
    <t>Sewa Backbone / Transmissi</t>
  </si>
  <si>
    <t>Pulsa data SIM management</t>
  </si>
  <si>
    <t>Akomodasi tim NOC/Field</t>
  </si>
  <si>
    <t>Lain-lain operasional</t>
  </si>
  <si>
    <t>Lain-lain (2)</t>
  </si>
  <si>
    <t>TOTAL OPEX PER BULAN</t>
  </si>
  <si>
    <t>—</t>
  </si>
  <si>
    <t>Catatan:</t>
  </si>
  <si>
    <t>1. Baseline (kolom E) = Koef × Pendapatan/bulan. Bisa di-override manual jika baseline diketahui fixed (mis. sewa).</t>
  </si>
  <si>
    <t>2. Inflasi bulanan = (1+inflasi tahunan)^(1/12) - 1. Update inflasi tahunan di sheet 06_Asumsi.</t>
  </si>
  <si>
    <t>3. Hanya Bulan 1 sampai dengan durasi kontrak (01_Menu!C11) yang akan masuk ke Cashflow. Bulan setelahnya akan diabaikan otomatis.</t>
  </si>
  <si>
    <t>4. Default Overhead 25% mengikuti pendekatan SBU (~24.29% di template multi-year). Sesuaikan jika ada justifikasi.</t>
  </si>
  <si>
    <t>05 — KOMPOSISI PENDAPATAN</t>
  </si>
  <si>
    <t>Daftar layanan dijual ke pelanggan dengan harga &amp; qty. OTC = one-time charge (Month 1). Sewa = recurring monthly.</t>
  </si>
  <si>
    <t>Tipe Service</t>
  </si>
  <si>
    <t>Lokasi</t>
  </si>
  <si>
    <t>Harsat (Rp)</t>
  </si>
  <si>
    <t>Qty</t>
  </si>
  <si>
    <t>OTC (Rp)</t>
  </si>
  <si>
    <t>Sewa/bulan (Rp)</t>
  </si>
  <si>
    <t>Contoh: IBBC CIR4-BW50 On-Net FTTH</t>
  </si>
  <si>
    <t>PT Contoh Pelanggan (NPWP 99.xxx.xxx.x-xxx.xxx)</t>
  </si>
  <si>
    <t>Medan Pusat</t>
  </si>
  <si>
    <t>unit</t>
  </si>
  <si>
    <t>TOTAL</t>
  </si>
  <si>
    <t>Catatan &amp; Validasi:</t>
  </si>
  <si>
    <t>1. KONSISTENSI WAJIB: nama layanan &amp; qty di sini HARUS = LKPP = iCRM = Surat Penawaran</t>
  </si>
  <si>
    <t>2. OTC dibayar di Month 1 (umumnya beriringan dengan instalasi/aktivasi)</t>
  </si>
  <si>
    <t>3. Sewa per bulan = recurring revenue (Month 1 sampai durasi kontrak)</t>
  </si>
  <si>
    <t>4. Untuk layanan gratis (mis. promo): isi Harsat = 0, OTC = 0, tapi masih perlu di-list untuk traceability</t>
  </si>
  <si>
    <t>06 — ASUMSI FINANSIAL &amp; EKONOMI</t>
  </si>
  <si>
    <t>Sel kuning = asumsi (perlu update berkala). Cek tanggal terakhir update di kolom 'Source'.</t>
  </si>
  <si>
    <t>Asumsi</t>
  </si>
  <si>
    <t>Value</t>
  </si>
  <si>
    <t>Source</t>
  </si>
  <si>
    <t>Update Terakhir</t>
  </si>
  <si>
    <t>WACC ICON+ (annual)</t>
  </si>
  <si>
    <t>Memo VP Keuangan April 2026</t>
  </si>
  <si>
    <t>WACC bulanan (auto, compounded)</t>
  </si>
  <si>
    <t>% p.bln</t>
  </si>
  <si>
    <t>Auto dari WACC annual (=(1+WACC_yr)^(1/12)-1)</t>
  </si>
  <si>
    <t>BCR/PI Minimum</t>
  </si>
  <si>
    <t>Memo DirKeu 16 Sept 2025</t>
  </si>
  <si>
    <t>BCR/PI Mandatory</t>
  </si>
  <si>
    <t>Inflasi Rupiah (annual)</t>
  </si>
  <si>
    <t>Bank Dunia / BI Forecast</t>
  </si>
  <si>
    <t>Kurs USD/IDR</t>
  </si>
  <si>
    <t>Rp/USD</t>
  </si>
  <si>
    <t>BI Tengah (cek terkini)</t>
  </si>
  <si>
    <t>Inflasi bulanan (auto)</t>
  </si>
  <si>
    <t>Auto dari Inflasi annual</t>
  </si>
  <si>
    <t>PPN</t>
  </si>
  <si>
    <t>UU HPP 2022 (efektif 2025+)</t>
  </si>
  <si>
    <t>PPh Badan</t>
  </si>
  <si>
    <t>UU PPh</t>
  </si>
  <si>
    <t>PPh Pasal 23 Jasa</t>
  </si>
  <si>
    <t>PPh23 = 15% × 30%</t>
  </si>
  <si>
    <t>Umur Piutang (AR)</t>
  </si>
  <si>
    <t>hari</t>
  </si>
  <si>
    <t>Practice ICON+</t>
  </si>
  <si>
    <t>Umur Hutang (AP)</t>
  </si>
  <si>
    <t>Suku Bunga Modal Kerja (annual)</t>
  </si>
  <si>
    <t>Bank Persero Nasional (BPS)</t>
  </si>
  <si>
    <t>Catatan Verifikator:</t>
  </si>
  <si>
    <t>1. ⚠️ WAJIB UPDATE BULANAN: WACC (D5) — minta dari VP Keuangan setiap awal bulan</t>
  </si>
  <si>
    <t>2. ⚠️ Kurs USD (D10) — verifikasi pada hari verifikasi jika ada komponen USD</t>
  </si>
  <si>
    <t>3. ⚠️ PPN 12% berlaku sejak 1 Jan 2025. Jangan ubah kembali ke 10%</t>
  </si>
  <si>
    <t>4. BCR Min 1.08 &amp; Mandatory 1.23 — jangan diubah tanpa Memo DirKeu baru</t>
  </si>
  <si>
    <t>5. Inflasi bulanan (D11) → dipakai di sheet 04_OPEX_Bulanan untuk kompound bulan-bulanan</t>
  </si>
  <si>
    <t>07 — CASHFLOW BULANAN &amp; DECISION METRICS</t>
  </si>
  <si>
    <t>Sheet kalkulasi inti: XIRR (annualized), NPV, BCR, Payback. Hanya bulan 1 sd durasi kontrak yang berkontribusi ke cashflow.</t>
  </si>
  <si>
    <t>Durasi kontrak:</t>
  </si>
  <si>
    <t>WACC bulanan:</t>
  </si>
  <si>
    <t>WACC annual:</t>
  </si>
  <si>
    <t>Komponen Cashflow</t>
  </si>
  <si>
    <t>Cell ref</t>
  </si>
  <si>
    <t>Month 0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</si>
  <si>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</si>
  <si>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</si>
  <si>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</si>
  <si>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</si>
  <si>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</si>
  <si>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</si>
  <si>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</si>
  <si>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</si>
  <si>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</si>
  <si>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</si>
  <si>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</si>
  <si>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Total</t>
  </si>
  <si>
    <t>Tanggal</t>
  </si>
  <si>
    <t>Aktif? (1 = ya)</t>
  </si>
  <si>
    <t>INFLOW (kas masuk)</t>
  </si>
  <si>
    <t>Sewa per bulan</t>
  </si>
  <si>
    <t>05_Pdpt!J20</t>
  </si>
  <si>
    <t>OTC (one-time, Month 1)</t>
  </si>
  <si>
    <t>05_Pdpt!I20</t>
  </si>
  <si>
    <t>Total Inflow</t>
  </si>
  <si>
    <t>OUTFLOW (kas keluar)</t>
  </si>
  <si>
    <t>OPEX Bulanan</t>
  </si>
  <si>
    <t>04_OPEX!F15:Q15</t>
  </si>
  <si>
    <t>CAPEX (investasi, Month 0)</t>
  </si>
  <si>
    <t>03_CAPEX!D20</t>
  </si>
  <si>
    <t>Total Outflow</t>
  </si>
  <si>
    <t>NET CASHFLOW</t>
  </si>
  <si>
    <t>Cumulative</t>
  </si>
  <si>
    <t>DECISION METRICS (output ke Menu)</t>
  </si>
  <si>
    <t>Rumus: XNPV(WACC_annual, NetCF, Dates) — wajib &gt; 0</t>
  </si>
  <si>
    <t>Rumus: XIRR(NetCF, Dates) — annualized, wajib &gt; WACC</t>
  </si>
  <si>
    <t>Rumus: PV(Inflows M1-M12) / |CAPEX|. Threshold Min 1.08, Mandatory 1.23</t>
  </si>
  <si>
    <t>Payback Period (bulan)</t>
  </si>
  <si>
    <t>Bulan pertama cumulative CF ≥ 0. NA = tidak balik modal dalam 12 bulan.</t>
  </si>
  <si>
    <t>Simple ROI (selama kontrak)</t>
  </si>
  <si>
    <t>Rumus: Net Inflow / |CAPEX|. Simple metric tanpa diskonto.</t>
  </si>
  <si>
    <t>CATATAN VERIFIKATOR</t>
  </si>
  <si>
    <t>1. XIRR butuh setidaknya 1 cashflow positif &amp; 1 negatif. Kalau ada error error NUM, cek apakah CAPEX (Month 0) negatif &amp; ada Net Inflow positif Month 1+.</t>
  </si>
  <si>
    <t>2. XIRR di template ini menggunakan WACC ANNUAL (06_Asumsi!D5) untuk konsistensi dengan IRR multi-year. Hasilnya = annualized rate of return.</t>
  </si>
  <si>
    <t>3. XNPV menggunakan dates yang exact, jadi result sedikit berbeda vs NPV biasa (yang assume periode equal). XNPV lebih akurat.</t>
  </si>
  <si>
    <t>4. Untuk kontrak 1-tahun: Payback Period biasanya MUSTAHIL kalau CAPEX &gt; Total Net Inflow 12 bulan. Cek kewajaran pricing.</t>
  </si>
  <si>
    <t>5. BCR/PI menggunakan PV dari inflow saja vs CAPEX. Threshold per Memo DirKeu: Min 1.08, Mandatory 1.23.</t>
  </si>
  <si>
    <t>6. Bulan setelah durasi kontrak otomatis di-zero-kan via Active Flag (row 10). Tidak perlu manual.</t>
  </si>
  <si>
    <t>EXECUTIVE SUMMARY</t>
  </si>
  <si>
    <t>KKF Proyek Investasi 1-Tahun — siap untuk approval</t>
  </si>
  <si>
    <t>A. IDENTITAS PROYEK</t>
  </si>
  <si>
    <t>│</t>
  </si>
  <si>
    <t>Disetujui Manager</t>
  </si>
  <si>
    <t>Disetujui GM</t>
  </si>
  <si>
    <t>Disiapkan Solution Architect</t>
  </si>
  <si>
    <t>Durasi Kontrak</t>
  </si>
  <si>
    <t>Tanggal KKF</t>
  </si>
  <si>
    <t>Versi Template</t>
  </si>
  <si>
    <t>"v01 (1-Tahun)"</t>
  </si>
  <si>
    <t>B. RINGKASAN INVESTASI &amp; PENDAPATAN</t>
  </si>
  <si>
    <t>Total CAPEX (Investasi)</t>
  </si>
  <si>
    <t>Total OTC</t>
  </si>
  <si>
    <t>Sewa per bulan (gross)</t>
  </si>
  <si>
    <t>Rp/bulan</t>
  </si>
  <si>
    <t>OPEX rata-rata per bulan</t>
  </si>
  <si>
    <t>Total Pendapatan selama kontrak</t>
  </si>
  <si>
    <t>Net Cash Inflow Operasional</t>
  </si>
  <si>
    <t>C. KPI KELAYAKAN</t>
  </si>
  <si>
    <t>NPV</t>
  </si>
  <si>
    <t>XIRR</t>
  </si>
  <si>
    <t>BCR / PI</t>
  </si>
  <si>
    <t>≥ 1.23</t>
  </si>
  <si>
    <t>&lt; Durasi</t>
  </si>
  <si>
    <t>Simple ROI</t>
  </si>
  <si>
    <t>D. KESIMPULAN &amp; REKOMENDASI</t>
  </si>
  <si>
    <t>E. TANDA TANGAN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</si>
</sst>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-mmm\-yyyy"/>
    <numFmt numFmtId="165" formatCode="#,##0;\(#,##0\);\-"/>
    <numFmt numFmtId="166" formatCode="0.00%;\(0.00%\);\-"/>
    <numFmt numFmtId="167" formatCode="0.00\x"/>
    <numFmt numFmtId="168" formatCode="0.0&quot; bulan&quot;"/>
    <numFmt numFmtId="169" formatCode="0&quot; bulan&quot;"/>
  </numFmts>
  <fonts count="20" x14ac:knownFonts="1">
    <font>
      <sz val="11"/>
      <color theme="1"/>
      <name val="Calibri"/>
      <family val="2"/>
      <charset val="1"/>
    </font>
    <font>
      <b/>
      <sz val="18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i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i/>
      <sz val="9"/>
      <color rgb="FF666666"/>
      <name val="Calibri"/>
      <family val="2"/>
    </font>
    <font>
      <u/>
      <sz val="10"/>
      <color rgb="FF0563C1"/>
      <name val="Calibri"/>
      <family val="2"/>
    </font>
    <font>
      <b/>
      <sz val="11"/>
      <color rgb="FF1B5E20"/>
      <name val="Calibri"/>
      <family val="2"/>
    </font>
    <font>
      <b/>
      <sz val="13"/>
      <color rgb="FFFFFFFF"/>
      <name val="Calibri"/>
      <family val="2"/>
    </font>
    <font>
      <b/>
      <sz val="12"/>
      <color rgb="FF1B5E20"/>
      <name val="Calibri"/>
      <family val="2"/>
    </font>
    <font>
      <b/>
      <sz val="11"/>
      <color rgb="FF000000"/>
      <name val="Calibri"/>
      <family val="2"/>
    </font>
    <font>
      <b/>
      <sz val="12"/>
      <color rgb="FFFFFFFF"/>
      <name val="Calibri"/>
      <family val="2"/>
    </font>
    <font>
      <i/>
      <sz val="9"/>
      <color rgb="FF1B5E20"/>
      <name val="Calibri"/>
      <family val="2"/>
    </font>
    <font>
      <i/>
      <sz val="10"/>
      <color rgb="FF7F6000"/>
      <name val="Calibri"/>
      <family val="2"/>
    </font>
    <font>
      <sz val="9"/>
      <color rgb="FF2C3E50"/>
      <name val="Consolas"/>
      <family val="2"/>
    </font>
    <font>
      <b/>
      <sz val="10"/>
      <name val="Calibri"/>
      <family val="2"/>
    </font>
    <font>
      <sz val="10"/>
      <color rgb="FF00000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1E3A5F"/>
        <bgColor rgb="FF2C3E50"/>
      </patternFill>
    </fill>
    <fill>
      <patternFill patternType="solid">
        <fgColor rgb="FF34495E"/>
        <bgColor rgb="FF2C3E50"/>
      </patternFill>
    </fill>
    <fill>
      <patternFill patternType="solid">
        <fgColor rgb="FF2E7D7B"/>
        <bgColor rgb="FF008080"/>
      </patternFill>
    </fill>
    <fill>
      <patternFill patternType="solid">
        <fgColor rgb="FFC0392B"/>
        <bgColor rgb="FF993366"/>
      </patternFill>
    </fill>
    <fill>
      <patternFill patternType="solid">
        <fgColor rgb="FFFFFFFF"/>
        <bgColor rgb="FFFFF9E6"/>
      </patternFill>
    </fill>
    <fill>
      <patternFill patternType="solid">
        <fgColor rgb="FFE8F4FD"/>
        <bgColor rgb="FFE8F5E9"/>
      </patternFill>
    </fill>
    <fill>
      <patternFill patternType="solid">
        <fgColor rgb="FFC9A961"/>
        <bgColor rgb="FF95A5A6"/>
      </patternFill>
    </fill>
    <fill>
      <patternFill patternType="solid">
        <fgColor rgb="FFD5DBDB"/>
        <bgColor rgb="FFC8E6C9"/>
      </patternFill>
    </fill>
    <fill>
      <patternFill patternType="solid">
        <fgColor rgb="FFE8F5E9"/>
        <bgColor rgb="FFE8F4FD"/>
      </patternFill>
    </fill>
    <fill>
      <patternFill patternType="solid">
        <fgColor rgb="FFFFF9E6"/>
        <bgColor rgb="FFFFFFFF"/>
      </patternFill>
    </fill>
  </fills>
  <borders count="4">
    <border>
      <left/>
      <right/>
      <top/>
      <bottom/>
      <diagonal/>
    </border>
    <border>
      <left style="thin">
        <color rgb="FF95A5A6"/>
      </left>
      <right style="thin">
        <color rgb="FF95A5A6"/>
      </right>
      <top style="thin">
        <color rgb="FF95A5A6"/>
      </top>
      <bottom style="thin">
        <color rgb="FF95A5A6"/>
      </bottom>
      <diagonal/>
    </border>
    <border>
      <left style="thin">
        <color rgb="FF34495E"/>
      </left>
      <right style="thin">
        <color rgb="FF34495E"/>
      </right>
      <top style="thin">
        <color rgb="FF34495E"/>
      </top>
      <bottom style="thin">
        <color rgb="FF34495E"/>
      </bottom>
      <diagonal/>
    </border>
    <border>
      <left style="thin">
        <color rgb="FF34495E"/>
      </left>
      <right/>
      <top style="thin">
        <color rgb="FF34495E"/>
      </top>
      <bottom style="thin">
        <color rgb="FF34495E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6" fillId="9" borderId="0" xfId="0" applyFont="1" applyFill="1" applyAlignment="1">
      <alignment horizontal="left" vertical="center" wrapText="1" indent="1"/>
    </xf>
    <xf numFmtId="0" fontId="9" fillId="0" borderId="0" xfId="0" applyFont="1"/>
    <xf numFmtId="0" fontId="8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 indent="1"/>
    </xf>
    <xf numFmtId="0" fontId="12" fillId="10" borderId="2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5" fillId="8" borderId="0" xfId="0" applyFont="1" applyFill="1" applyAlignment="1">
      <alignment horizontal="left" vertical="center" wrapText="1" indent="1"/>
    </xf>
    <xf numFmtId="0" fontId="5" fillId="4" borderId="0" xfId="0" applyFont="1" applyFill="1" applyAlignment="1">
      <alignment horizontal="left" vertical="center" wrapText="1" indent="1"/>
    </xf>
    <xf numFmtId="0" fontId="2" fillId="5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/>
    <xf numFmtId="0" fontId="3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 indent="1"/>
    </xf>
    <xf numFmtId="0" fontId="6" fillId="0" borderId="1" xfId="0" applyFont="1" applyBorder="1" applyAlignment="1">
      <alignment horizontal="left" vertical="center" wrapText="1" indent="1"/>
    </xf>
    <xf numFmtId="0" fontId="7" fillId="6" borderId="1" xfId="0" applyFont="1" applyFill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3" fillId="0" borderId="0" xfId="0" applyFont="1"/>
    <xf numFmtId="164" fontId="7" fillId="6" borderId="1" xfId="0" applyNumberFormat="1" applyFont="1" applyFill="1" applyBorder="1" applyAlignment="1">
      <alignment horizontal="left" vertical="center" wrapText="1" indent="1"/>
    </xf>
    <xf numFmtId="165" fontId="7" fillId="6" borderId="1" xfId="0" applyNumberFormat="1" applyFont="1" applyFill="1" applyBorder="1" applyAlignment="1">
      <alignment horizontal="left" vertical="center" wrapText="1" indent="1"/>
    </xf>
    <xf numFmtId="164" fontId="3" fillId="7" borderId="1" xfId="0" applyNumberFormat="1" applyFont="1" applyFill="1" applyBorder="1" applyAlignment="1">
      <alignment horizontal="left" vertical="center" wrapText="1" indent="1"/>
    </xf>
    <xf numFmtId="0" fontId="7" fillId="6" borderId="1" xfId="0" applyFont="1" applyFill="1" applyBorder="1"/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9" fillId="0" borderId="1" xfId="0" applyFont="1" applyBorder="1" applyAlignment="1">
      <alignment horizontal="center" vertical="center" wrapText="1"/>
    </xf>
    <xf numFmtId="165" fontId="3" fillId="7" borderId="1" xfId="0" applyNumberFormat="1" applyFont="1" applyFill="1" applyBorder="1" applyAlignment="1">
      <alignment horizontal="righ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0" fillId="0" borderId="1" xfId="0" applyBorder="1"/>
    <xf numFmtId="165" fontId="10" fillId="10" borderId="1" xfId="0" applyNumberFormat="1" applyFont="1" applyFill="1" applyBorder="1" applyAlignment="1">
      <alignment horizontal="right" vertical="center" wrapText="1"/>
    </xf>
    <xf numFmtId="0" fontId="0" fillId="11" borderId="1" xfId="0" applyFill="1" applyBorder="1" applyAlignment="1">
      <alignment horizontal="center" vertical="center" wrapText="1"/>
    </xf>
    <xf numFmtId="166" fontId="10" fillId="10" borderId="1" xfId="0" applyNumberFormat="1" applyFont="1" applyFill="1" applyBorder="1" applyAlignment="1">
      <alignment horizontal="right" vertical="center" wrapText="1"/>
    </xf>
    <xf numFmtId="167" fontId="10" fillId="10" borderId="1" xfId="0" applyNumberFormat="1" applyFont="1" applyFill="1" applyBorder="1" applyAlignment="1">
      <alignment horizontal="right" vertical="center" wrapText="1"/>
    </xf>
    <xf numFmtId="168" fontId="10" fillId="10" borderId="1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3" fillId="7" borderId="1" xfId="0" applyFont="1" applyFill="1" applyBorder="1" applyAlignment="1">
      <alignment horizontal="left" vertical="center" wrapText="1" indent="1"/>
    </xf>
    <xf numFmtId="165" fontId="7" fillId="6" borderId="1" xfId="0" applyNumberFormat="1" applyFont="1" applyFill="1" applyBorder="1" applyAlignment="1">
      <alignment horizontal="right" vertical="center" wrapText="1"/>
    </xf>
    <xf numFmtId="0" fontId="6" fillId="8" borderId="0" xfId="0" applyFont="1" applyFill="1" applyAlignment="1">
      <alignment horizontal="right" vertical="center" wrapText="1"/>
    </xf>
    <xf numFmtId="165" fontId="10" fillId="10" borderId="2" xfId="0" applyNumberFormat="1" applyFont="1" applyFill="1" applyBorder="1" applyAlignment="1">
      <alignment horizontal="right" vertical="center" wrapText="1"/>
    </xf>
    <xf numFmtId="0" fontId="6" fillId="9" borderId="1" xfId="0" applyFont="1" applyFill="1" applyBorder="1" applyAlignment="1">
      <alignment horizontal="left" vertical="center" wrapText="1" indent="1"/>
    </xf>
    <xf numFmtId="165" fontId="13" fillId="7" borderId="1" xfId="0" applyNumberFormat="1" applyFont="1" applyFill="1" applyBorder="1" applyAlignment="1">
      <alignment horizontal="right" vertical="center" wrapText="1"/>
    </xf>
    <xf numFmtId="0" fontId="14" fillId="2" borderId="0" xfId="0" applyFont="1" applyFill="1" applyAlignment="1">
      <alignment horizontal="right" vertical="center" wrapText="1"/>
    </xf>
    <xf numFmtId="165" fontId="14" fillId="2" borderId="2" xfId="0" applyNumberFormat="1" applyFont="1" applyFill="1" applyBorder="1" applyAlignment="1">
      <alignment horizontal="right" vertical="center" wrapText="1"/>
    </xf>
    <xf numFmtId="0" fontId="15" fillId="0" borderId="0" xfId="0" applyFont="1" applyAlignment="1">
      <alignment horizontal="left" vertical="center" wrapText="1" indent="1"/>
    </xf>
    <xf numFmtId="166" fontId="3" fillId="7" borderId="1" xfId="0" applyNumberFormat="1" applyFont="1" applyFill="1" applyBorder="1" applyAlignment="1">
      <alignment horizontal="right" vertical="center" wrapText="1"/>
    </xf>
    <xf numFmtId="166" fontId="7" fillId="6" borderId="1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165" fontId="7" fillId="6" borderId="1" xfId="0" applyNumberFormat="1" applyFont="1" applyFill="1" applyBorder="1"/>
    <xf numFmtId="0" fontId="7" fillId="6" borderId="1" xfId="0" applyFont="1" applyFill="1" applyBorder="1" applyAlignment="1">
      <alignment horizontal="center" vertical="center" wrapText="1"/>
    </xf>
    <xf numFmtId="166" fontId="16" fillId="11" borderId="1" xfId="0" applyNumberFormat="1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66" fontId="3" fillId="7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7" fontId="16" fillId="11" borderId="1" xfId="0" applyNumberFormat="1" applyFont="1" applyFill="1" applyBorder="1" applyAlignment="1">
      <alignment horizontal="center" vertical="center" wrapText="1"/>
    </xf>
    <xf numFmtId="165" fontId="16" fillId="11" borderId="1" xfId="0" applyNumberFormat="1" applyFont="1" applyFill="1" applyBorder="1" applyAlignment="1">
      <alignment horizontal="center" vertical="center" wrapText="1"/>
    </xf>
    <xf numFmtId="169" fontId="3" fillId="7" borderId="1" xfId="0" applyNumberFormat="1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65" fontId="6" fillId="9" borderId="1" xfId="0" applyNumberFormat="1" applyFont="1" applyFill="1" applyBorder="1" applyAlignment="1">
      <alignment horizontal="right" vertical="center" wrapText="1"/>
    </xf>
    <xf numFmtId="0" fontId="0" fillId="0" borderId="2" xfId="0" applyBorder="1"/>
    <xf numFmtId="0" fontId="5" fillId="2" borderId="2" xfId="0" applyFont="1" applyFill="1" applyBorder="1" applyAlignment="1">
      <alignment horizontal="left" vertical="center" wrapText="1" indent="1"/>
    </xf>
    <xf numFmtId="165" fontId="18" fillId="7" borderId="2" xfId="0" applyNumberFormat="1" applyFont="1" applyFill="1" applyBorder="1" applyAlignment="1">
      <alignment horizontal="right" vertical="center" wrapText="1"/>
    </xf>
    <xf numFmtId="169" fontId="10" fillId="10" borderId="1" xfId="0" applyNumberFormat="1" applyFont="1" applyFill="1" applyBorder="1" applyAlignment="1">
      <alignment horizontal="right" vertical="center" wrapText="1"/>
    </xf>
    <xf numFmtId="0" fontId="8" fillId="11" borderId="1" xfId="0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6" fillId="3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top" wrapText="1" indent="1"/>
    </xf>
    <xf numFmtId="0" fontId="12" fillId="1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>
          <bgColor rgb="FFFFE0B2"/>
        </patternFill>
      </fill>
    </dxf>
    <dxf>
      <fill>
        <patternFill>
          <bgColor rgb="FFFFE0B2"/>
        </patternFill>
      </fill>
    </dxf>
    <dxf>
      <fill>
        <patternFill>
          <bgColor rgb="FFFFCDD2"/>
        </patternFill>
      </fill>
    </dxf>
    <dxf>
      <fill>
        <patternFill>
          <bgColor rgb="FFFFCDD2"/>
        </patternFill>
      </fill>
    </dxf>
    <dxf>
      <fill>
        <patternFill>
          <bgColor rgb="FFC8E6C9"/>
        </patternFill>
      </fill>
    </dxf>
    <dxf>
      <fill>
        <patternFill>
          <bgColor rgb="FFC8E6C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7F6000"/>
      <rgbColor rgb="FF800080"/>
      <rgbColor rgb="FF008080"/>
      <rgbColor rgb="FFC9A961"/>
      <rgbColor rgb="FF808080"/>
      <rgbColor rgb="FF9999FF"/>
      <rgbColor rgb="FF993366"/>
      <rgbColor rgb="FFFFF9E6"/>
      <rgbColor rgb="FFE8F4FD"/>
      <rgbColor rgb="FF660066"/>
      <rgbColor rgb="FFFF8080"/>
      <rgbColor rgb="FF0563C1"/>
      <rgbColor rgb="FFD5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FF99"/>
      <rgbColor rgb="FF99CCFF"/>
      <rgbColor rgb="FFFFCDD2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66"/>
      <rgbColor rgb="FF95A5A6"/>
      <rgbColor rgb="FF1E3A5F"/>
      <rgbColor rgb="FF2E7D7B"/>
      <rgbColor rgb="FF003300"/>
      <rgbColor rgb="FF333300"/>
      <rgbColor rgb="FFC0392B"/>
      <rgbColor rgb="FF993366"/>
      <rgbColor rgb="FF34495E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i Ervan Surahmat" id="{FC153282-ED2B-6049-BF8E-5F6B0F863B3E}" userId="S::andi.ervan@iconpln.co.id::c6e68ecb-370e-417a-bc38-d29e462fecf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0" dT="2026-05-25T04:02:32.14" personId="{FC153282-ED2B-6049-BF8E-5F6B0F863B3E}" id="{E058C2E8-4DCB-564E-BC52-C35EC0A6781E}">
    <text>ini yang akan jadi goalseek untuk mendapatkan harga bulanan untuk komponen last mile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conpln.sharepoint.com/sites/ServiceCustomizationTeam/Shared%20Documents/2026/31.%20FKM%20-%20HJT%202026/11.%20KALKULATOR/KKF_Proyek_Investasi_1Tahun_v01.xlsx" TargetMode="External"/><Relationship Id="rId7" Type="http://schemas.openxmlformats.org/officeDocument/2006/relationships/hyperlink" Target="https://iconpln.sharepoint.com/sites/ServiceCustomizationTeam/Shared%20Documents/2026/31.%20FKM%20-%20HJT%202026/11.%20KALKULATOR/KKF_Proyek_Investasi_1Tahun_v01.xlsx" TargetMode="External"/><Relationship Id="rId2" Type="http://schemas.openxmlformats.org/officeDocument/2006/relationships/hyperlink" Target="https://iconpln.sharepoint.com/sites/ServiceCustomizationTeam/Shared%20Documents/2026/31.%20FKM%20-%20HJT%202026/11.%20KALKULATOR/KKF_Proyek_Investasi_1Tahun_v01.xlsx" TargetMode="External"/><Relationship Id="rId1" Type="http://schemas.openxmlformats.org/officeDocument/2006/relationships/hyperlink" Target="https://iconpln.sharepoint.com/sites/ServiceCustomizationTeam/Shared%20Documents/2026/31.%20FKM%20-%20HJT%202026/11.%20KALKULATOR/KKF_Proyek_Investasi_1Tahun_v01.xlsx" TargetMode="External"/><Relationship Id="rId6" Type="http://schemas.openxmlformats.org/officeDocument/2006/relationships/hyperlink" Target="https://iconpln.sharepoint.com/sites/ServiceCustomizationTeam/Shared%20Documents/2026/31.%20FKM%20-%20HJT%202026/11.%20KALKULATOR/KKF_Proyek_Investasi_1Tahun_v01.xlsx" TargetMode="External"/><Relationship Id="rId5" Type="http://schemas.openxmlformats.org/officeDocument/2006/relationships/hyperlink" Target="https://iconpln.sharepoint.com/sites/ServiceCustomizationTeam/Shared%20Documents/2026/31.%20FKM%20-%20HJT%202026/11.%20KALKULATOR/KKF_Proyek_Investasi_1Tahun_v01.xlsx" TargetMode="External"/><Relationship Id="rId4" Type="http://schemas.openxmlformats.org/officeDocument/2006/relationships/hyperlink" Target="https://iconpln.sharepoint.com/sites/ServiceCustomizationTeam/Shared%20Documents/2026/31.%20FKM%20-%20HJT%202026/11.%20KALKULATOR/KKF_Proyek_Investasi_1Tahun_v01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conpln.sharepoint.com/sites/ServiceCustomizationTeam/Shared%20Documents/2026/31.%20FKM%20-%20HJT%202026/11.%20KALKULATOR/KKF_Proyek_Investasi_1Tahun_v01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iconpln.sharepoint.com/sites/ServiceCustomizationTeam/Shared%20Documents/2026/31.%20FKM%20-%20HJT%202026/11.%20KALKULATOR/KKF_Proyek_Investasi_1Tahun_v01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iconpln.sharepoint.com/sites/ServiceCustomizationTeam/Shared%20Documents/2026/31.%20FKM%20-%20HJT%202026/11.%20KALKULATOR/KKF_Proyek_Investasi_1Tahun_v01.xlsx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iconpln.sharepoint.com/sites/ServiceCustomizationTeam/Shared%20Documents/2026/31.%20FKM%20-%20HJT%202026/11.%20KALKULATOR/KKF_Proyek_Investasi_1Tahun_v01.xlsx" TargetMode="External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iconpln.sharepoint.com/sites/ServiceCustomizationTeam/Shared%20Documents/2026/31.%20FKM%20-%20HJT%202026/11.%20KALKULATOR/KKF_Proyek_Investasi_1Tahun_v01.xlsx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iconpln.sharepoint.com/sites/ServiceCustomizationTeam/Shared%20Documents/2026/31.%20FKM%20-%20HJT%202026/11.%20KALKULATOR/KKF_Proyek_Investasi_1Tahun_v01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4495E"/>
  </sheetPr>
  <dimension ref="B2:E1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3" customWidth="1"/>
    <col min="2" max="2" width="6" customWidth="1"/>
    <col min="3" max="3" width="16" customWidth="1"/>
    <col min="4" max="4" width="12" customWidth="1"/>
    <col min="5" max="5" width="80" customWidth="1"/>
  </cols>
  <sheetData>
    <row r="2" spans="2:5" ht="30" customHeight="1" x14ac:dyDescent="0.2">
      <c r="B2" s="12" t="s">
        <v>0</v>
      </c>
      <c r="C2" s="12"/>
      <c r="D2" s="12"/>
      <c r="E2" s="12"/>
    </row>
    <row r="4" spans="2:5" ht="27.75" customHeight="1" x14ac:dyDescent="0.2">
      <c r="B4" s="13" t="s">
        <v>1</v>
      </c>
      <c r="C4" s="13" t="s">
        <v>2</v>
      </c>
      <c r="D4" s="13" t="s">
        <v>3</v>
      </c>
      <c r="E4" s="13" t="s">
        <v>4</v>
      </c>
    </row>
    <row r="5" spans="2:5" ht="60" customHeight="1" x14ac:dyDescent="0.2">
      <c r="B5" s="14">
        <v>1</v>
      </c>
      <c r="C5" s="15">
        <v>46167</v>
      </c>
      <c r="D5" s="14" t="s">
        <v>5</v>
      </c>
      <c r="E5" s="16" t="s">
        <v>6</v>
      </c>
    </row>
    <row r="6" spans="2:5" ht="21.75" customHeight="1" x14ac:dyDescent="0.2">
      <c r="B6" s="17"/>
      <c r="C6" s="18"/>
      <c r="D6" s="17"/>
      <c r="E6" s="19"/>
    </row>
    <row r="7" spans="2:5" ht="21.75" customHeight="1" x14ac:dyDescent="0.2">
      <c r="B7" s="17"/>
      <c r="C7" s="18"/>
      <c r="D7" s="17"/>
      <c r="E7" s="19"/>
    </row>
    <row r="8" spans="2:5" ht="21.75" customHeight="1" x14ac:dyDescent="0.2">
      <c r="B8" s="17"/>
      <c r="C8" s="18"/>
      <c r="D8" s="17"/>
      <c r="E8" s="19"/>
    </row>
    <row r="9" spans="2:5" ht="21.75" customHeight="1" x14ac:dyDescent="0.2">
      <c r="B9" s="17"/>
      <c r="C9" s="18"/>
      <c r="D9" s="17"/>
      <c r="E9" s="19"/>
    </row>
    <row r="10" spans="2:5" ht="21.75" customHeight="1" x14ac:dyDescent="0.2">
      <c r="B10" s="17"/>
      <c r="C10" s="18"/>
      <c r="D10" s="17"/>
      <c r="E10" s="19"/>
    </row>
    <row r="11" spans="2:5" ht="21.75" customHeight="1" x14ac:dyDescent="0.2">
      <c r="B11" s="17"/>
      <c r="C11" s="18"/>
      <c r="D11" s="17"/>
      <c r="E11" s="19"/>
    </row>
    <row r="12" spans="2:5" ht="21.75" customHeight="1" x14ac:dyDescent="0.2">
      <c r="B12" s="17"/>
      <c r="C12" s="18"/>
      <c r="D12" s="17"/>
      <c r="E12" s="19"/>
    </row>
    <row r="13" spans="2:5" ht="21.75" customHeight="1" x14ac:dyDescent="0.2">
      <c r="B13" s="17"/>
      <c r="C13" s="18"/>
      <c r="D13" s="17"/>
      <c r="E13" s="19"/>
    </row>
    <row r="14" spans="2:5" ht="21.75" customHeight="1" x14ac:dyDescent="0.2">
      <c r="B14" s="17"/>
      <c r="C14" s="18"/>
      <c r="D14" s="17"/>
      <c r="E14" s="19"/>
    </row>
    <row r="15" spans="2:5" ht="21.75" customHeight="1" x14ac:dyDescent="0.2">
      <c r="B15" s="17"/>
      <c r="C15" s="18"/>
      <c r="D15" s="17"/>
      <c r="E15" s="19"/>
    </row>
  </sheetData>
  <mergeCells count="1">
    <mergeCell ref="B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3A5F"/>
  </sheetPr>
  <dimension ref="B2:I53"/>
  <sheetViews>
    <sheetView showGridLines="0" zoomScale="181" zoomScaleNormal="100" workbookViewId="0">
      <pane xSplit="1" ySplit="4" topLeftCell="B26" activePane="bottomRight" state="frozen"/>
      <selection pane="topRight" activeCell="B1" sqref="B1"/>
      <selection pane="bottomLeft" activeCell="A5" sqref="A5"/>
      <selection pane="bottomRight" activeCell="C27" sqref="C27"/>
    </sheetView>
  </sheetViews>
  <sheetFormatPr baseColWidth="10" defaultColWidth="8.6640625" defaultRowHeight="15" x14ac:dyDescent="0.2"/>
  <cols>
    <col min="1" max="1" width="3" customWidth="1"/>
    <col min="2" max="2" width="30" customWidth="1"/>
    <col min="3" max="3" width="32" customWidth="1"/>
    <col min="4" max="5" width="18" customWidth="1"/>
    <col min="6" max="6" width="16" customWidth="1"/>
    <col min="7" max="7" width="4" customWidth="1"/>
    <col min="8" max="8" width="16" customWidth="1"/>
    <col min="9" max="9" width="24" customWidth="1"/>
  </cols>
  <sheetData>
    <row r="2" spans="2:9" ht="31.5" customHeight="1" x14ac:dyDescent="0.2">
      <c r="B2" s="12" t="s">
        <v>7</v>
      </c>
      <c r="C2" s="12"/>
      <c r="D2" s="12"/>
      <c r="E2" s="12"/>
      <c r="F2" s="12"/>
      <c r="G2" s="12"/>
      <c r="H2" s="12"/>
      <c r="I2" s="12"/>
    </row>
    <row r="3" spans="2:9" ht="21.75" customHeight="1" x14ac:dyDescent="0.2">
      <c r="B3" s="11" t="s">
        <v>8</v>
      </c>
      <c r="C3" s="11"/>
      <c r="D3" s="11"/>
      <c r="E3" s="11"/>
      <c r="F3" s="11"/>
      <c r="G3" s="11"/>
      <c r="H3" s="11"/>
      <c r="I3" s="11"/>
    </row>
    <row r="4" spans="2:9" ht="21.75" customHeight="1" x14ac:dyDescent="0.2">
      <c r="B4" s="10" t="s">
        <v>9</v>
      </c>
      <c r="C4" s="10"/>
      <c r="D4" s="10"/>
      <c r="E4" s="10"/>
      <c r="F4" s="10"/>
      <c r="G4" s="10"/>
      <c r="H4" s="10"/>
      <c r="I4" s="10"/>
    </row>
    <row r="5" spans="2:9" ht="21.75" customHeight="1" x14ac:dyDescent="0.2">
      <c r="B5" s="9" t="s">
        <v>10</v>
      </c>
      <c r="C5" s="9"/>
      <c r="D5" s="9"/>
      <c r="E5" s="9"/>
      <c r="F5" s="9"/>
      <c r="G5" s="9"/>
      <c r="H5" s="9"/>
      <c r="I5" s="9"/>
    </row>
    <row r="6" spans="2:9" ht="21.75" customHeight="1" x14ac:dyDescent="0.2">
      <c r="B6" s="20" t="s">
        <v>11</v>
      </c>
      <c r="C6" s="21" t="s">
        <v>12</v>
      </c>
      <c r="D6" s="22" t="s">
        <v>13</v>
      </c>
      <c r="E6" s="23"/>
      <c r="F6" s="24"/>
      <c r="G6" s="24"/>
      <c r="H6" s="24"/>
      <c r="I6" s="24"/>
    </row>
    <row r="7" spans="2:9" ht="21.75" customHeight="1" x14ac:dyDescent="0.2">
      <c r="B7" s="20" t="s">
        <v>14</v>
      </c>
      <c r="C7" s="21" t="s">
        <v>15</v>
      </c>
      <c r="D7" s="22" t="s">
        <v>16</v>
      </c>
      <c r="E7" s="23"/>
      <c r="F7" s="24"/>
      <c r="G7" s="24"/>
      <c r="H7" s="24"/>
      <c r="I7" s="24"/>
    </row>
    <row r="8" spans="2:9" ht="21.75" customHeight="1" x14ac:dyDescent="0.2">
      <c r="B8" s="20" t="s">
        <v>17</v>
      </c>
      <c r="C8" s="21"/>
      <c r="D8" s="22" t="s">
        <v>18</v>
      </c>
      <c r="E8" s="23"/>
      <c r="F8" s="24"/>
      <c r="G8" s="24"/>
      <c r="H8" s="24"/>
      <c r="I8" s="24"/>
    </row>
    <row r="9" spans="2:9" ht="21.75" customHeight="1" x14ac:dyDescent="0.2">
      <c r="B9" s="20" t="s">
        <v>19</v>
      </c>
      <c r="C9" s="25">
        <v>46174</v>
      </c>
      <c r="D9" s="22" t="s">
        <v>20</v>
      </c>
      <c r="E9" s="23"/>
      <c r="F9" s="24"/>
      <c r="G9" s="24"/>
      <c r="H9" s="24"/>
      <c r="I9" s="24"/>
    </row>
    <row r="10" spans="2:9" ht="21.75" customHeight="1" x14ac:dyDescent="0.2">
      <c r="B10" s="20" t="s">
        <v>21</v>
      </c>
      <c r="C10" s="26">
        <v>12</v>
      </c>
      <c r="D10" s="22" t="s">
        <v>22</v>
      </c>
      <c r="E10" s="23"/>
      <c r="F10" s="24"/>
      <c r="G10" s="24"/>
      <c r="H10" s="24"/>
      <c r="I10" s="24"/>
    </row>
    <row r="11" spans="2:9" ht="21.75" customHeight="1" x14ac:dyDescent="0.2">
      <c r="B11" s="20" t="s">
        <v>23</v>
      </c>
      <c r="C11" s="27">
        <f>EDATE(C9,C10)</f>
        <v>46539</v>
      </c>
      <c r="D11" s="22" t="s">
        <v>24</v>
      </c>
      <c r="E11" s="23"/>
      <c r="F11" s="24"/>
      <c r="G11" s="24"/>
      <c r="H11" s="24"/>
      <c r="I11" s="24"/>
    </row>
    <row r="12" spans="2:9" ht="21.75" customHeight="1" x14ac:dyDescent="0.2">
      <c r="B12" s="20" t="s">
        <v>25</v>
      </c>
      <c r="C12" s="25" t="s">
        <v>26</v>
      </c>
      <c r="D12" s="22"/>
      <c r="E12" s="24"/>
      <c r="F12" s="24"/>
      <c r="G12" s="24"/>
      <c r="H12" s="24"/>
      <c r="I12" s="24"/>
    </row>
    <row r="13" spans="2:9" ht="21.75" customHeight="1" x14ac:dyDescent="0.2">
      <c r="B13" s="20" t="s">
        <v>27</v>
      </c>
      <c r="C13" s="21" t="s">
        <v>28</v>
      </c>
      <c r="D13" s="22"/>
      <c r="E13" s="24"/>
      <c r="F13" s="24"/>
      <c r="G13" s="24"/>
      <c r="H13" s="24"/>
      <c r="I13" s="24"/>
    </row>
    <row r="14" spans="2:9" ht="21.75" customHeight="1" x14ac:dyDescent="0.2">
      <c r="B14" s="20" t="s">
        <v>29</v>
      </c>
      <c r="C14" s="21" t="s">
        <v>30</v>
      </c>
      <c r="D14" s="22"/>
      <c r="E14" s="24"/>
      <c r="F14" s="24"/>
      <c r="G14" s="24"/>
      <c r="H14" s="24"/>
      <c r="I14" s="24"/>
    </row>
    <row r="15" spans="2:9" ht="21.75" customHeight="1" x14ac:dyDescent="0.2">
      <c r="B15" s="20" t="s">
        <v>31</v>
      </c>
      <c r="C15" s="21" t="s">
        <v>32</v>
      </c>
      <c r="D15" s="22"/>
      <c r="E15" s="24"/>
      <c r="F15" s="24"/>
      <c r="G15" s="24"/>
      <c r="H15" s="24"/>
      <c r="I15" s="24"/>
    </row>
    <row r="16" spans="2:9" ht="15" customHeight="1" x14ac:dyDescent="0.2">
      <c r="C16" s="28" t="s">
        <v>32</v>
      </c>
    </row>
    <row r="17" spans="2:9" ht="21.75" customHeight="1" x14ac:dyDescent="0.2">
      <c r="B17" s="9" t="s">
        <v>33</v>
      </c>
      <c r="C17" s="9"/>
      <c r="D17" s="9"/>
      <c r="E17" s="9"/>
      <c r="F17" s="9"/>
      <c r="G17" s="9"/>
      <c r="H17" s="9"/>
      <c r="I17" s="9"/>
    </row>
    <row r="18" spans="2:9" ht="21.75" customHeight="1" x14ac:dyDescent="0.2">
      <c r="B18" s="29" t="s">
        <v>34</v>
      </c>
      <c r="C18" s="30" t="s">
        <v>35</v>
      </c>
      <c r="D18" s="31" t="s">
        <v>36</v>
      </c>
    </row>
    <row r="19" spans="2:9" ht="21.75" customHeight="1" x14ac:dyDescent="0.2">
      <c r="B19" s="29" t="s">
        <v>37</v>
      </c>
      <c r="C19" s="30" t="s">
        <v>38</v>
      </c>
      <c r="D19" s="31" t="s">
        <v>39</v>
      </c>
    </row>
    <row r="20" spans="2:9" ht="21.75" customHeight="1" x14ac:dyDescent="0.2">
      <c r="B20" s="29" t="s">
        <v>40</v>
      </c>
      <c r="C20" s="30" t="s">
        <v>41</v>
      </c>
      <c r="D20" s="31" t="s">
        <v>42</v>
      </c>
    </row>
    <row r="21" spans="2:9" ht="21.75" customHeight="1" x14ac:dyDescent="0.2">
      <c r="B21" s="29" t="s">
        <v>43</v>
      </c>
      <c r="C21" s="30" t="s">
        <v>44</v>
      </c>
      <c r="D21" s="31" t="s">
        <v>45</v>
      </c>
    </row>
    <row r="22" spans="2:9" ht="21.75" customHeight="1" x14ac:dyDescent="0.2">
      <c r="B22" s="29" t="s">
        <v>46</v>
      </c>
      <c r="C22" s="30" t="s">
        <v>47</v>
      </c>
      <c r="D22" s="31" t="s">
        <v>48</v>
      </c>
    </row>
    <row r="23" spans="2:9" ht="21.75" customHeight="1" x14ac:dyDescent="0.2">
      <c r="B23" s="29" t="s">
        <v>49</v>
      </c>
      <c r="C23" s="30" t="s">
        <v>50</v>
      </c>
      <c r="D23" s="31" t="s">
        <v>51</v>
      </c>
    </row>
    <row r="24" spans="2:9" ht="21.75" customHeight="1" x14ac:dyDescent="0.2">
      <c r="B24" s="29" t="s">
        <v>52</v>
      </c>
      <c r="C24" s="30" t="s">
        <v>53</v>
      </c>
      <c r="D24" s="31" t="s">
        <v>54</v>
      </c>
    </row>
    <row r="26" spans="2:9" ht="21.75" customHeight="1" x14ac:dyDescent="0.2">
      <c r="B26" s="8" t="s">
        <v>55</v>
      </c>
      <c r="C26" s="8"/>
      <c r="D26" s="8"/>
      <c r="E26" s="8"/>
      <c r="F26" s="8"/>
      <c r="G26" s="8"/>
      <c r="H26" s="8"/>
      <c r="I26" s="8"/>
    </row>
    <row r="27" spans="2:9" ht="15" customHeight="1" x14ac:dyDescent="0.2">
      <c r="B27" s="17" t="s">
        <v>56</v>
      </c>
      <c r="C27" s="32">
        <f>'03_CAPEX'!D20</f>
        <v>75000000</v>
      </c>
      <c r="E27" s="7" t="s">
        <v>57</v>
      </c>
      <c r="F27" s="7"/>
      <c r="G27" s="7"/>
      <c r="H27" s="7"/>
      <c r="I27" s="7"/>
    </row>
    <row r="28" spans="2:9" ht="15" customHeight="1" x14ac:dyDescent="0.2">
      <c r="B28" s="17" t="s">
        <v>56</v>
      </c>
      <c r="C28" s="32">
        <f>'05_Pendapatan'!I20</f>
        <v>5000000</v>
      </c>
      <c r="E28" s="7" t="s">
        <v>58</v>
      </c>
      <c r="F28" s="7"/>
      <c r="G28" s="7"/>
      <c r="H28" s="7"/>
      <c r="I28" s="7"/>
    </row>
    <row r="29" spans="2:9" ht="15" customHeight="1" x14ac:dyDescent="0.2">
      <c r="B29" s="17" t="s">
        <v>56</v>
      </c>
      <c r="C29" s="32">
        <f>'05_Pendapatan'!J20</f>
        <v>8900000</v>
      </c>
      <c r="E29" s="7" t="s">
        <v>59</v>
      </c>
      <c r="F29" s="7"/>
      <c r="G29" s="7"/>
      <c r="H29" s="7"/>
      <c r="I29" s="7"/>
    </row>
    <row r="30" spans="2:9" ht="15" customHeight="1" x14ac:dyDescent="0.2">
      <c r="B30" s="17" t="s">
        <v>56</v>
      </c>
      <c r="C30" s="32">
        <f>AVERAGE('04_OPEX_Bulanan'!F15:Q15)</f>
        <v>2673016.7553335736</v>
      </c>
      <c r="E30" s="7" t="s">
        <v>60</v>
      </c>
      <c r="F30" s="7"/>
      <c r="G30" s="7"/>
      <c r="H30" s="7"/>
      <c r="I30" s="7"/>
    </row>
    <row r="31" spans="2:9" ht="15" customHeight="1" x14ac:dyDescent="0.2">
      <c r="B31" s="17" t="s">
        <v>56</v>
      </c>
      <c r="C31" s="32">
        <f>'07_Cashflow_Bulanan'!S14</f>
        <v>5000000</v>
      </c>
      <c r="E31" s="7" t="s">
        <v>61</v>
      </c>
      <c r="F31" s="7"/>
      <c r="G31" s="7"/>
      <c r="H31" s="7"/>
      <c r="I31" s="7"/>
    </row>
    <row r="32" spans="2:9" ht="15" customHeight="1" x14ac:dyDescent="0.2">
      <c r="B32" s="17" t="s">
        <v>56</v>
      </c>
      <c r="C32" s="32">
        <f>'07_Cashflow_Bulanan'!S19</f>
        <v>75000000</v>
      </c>
      <c r="E32" s="7" t="s">
        <v>62</v>
      </c>
      <c r="F32" s="7"/>
      <c r="G32" s="7"/>
      <c r="H32" s="7"/>
      <c r="I32" s="7"/>
    </row>
    <row r="33" spans="2:9" ht="15" customHeight="1" x14ac:dyDescent="0.2">
      <c r="B33" s="17" t="s">
        <v>56</v>
      </c>
      <c r="C33" s="32">
        <f>'07_Cashflow_Bulanan'!S22-(-'07_Cashflow_Bulanan'!F22)</f>
        <v>-70276201.064002886</v>
      </c>
      <c r="E33" s="7" t="s">
        <v>63</v>
      </c>
      <c r="F33" s="7"/>
      <c r="G33" s="7"/>
      <c r="H33" s="7"/>
      <c r="I33" s="7"/>
    </row>
    <row r="35" spans="2:9" ht="21.75" customHeight="1" x14ac:dyDescent="0.2">
      <c r="B35" s="8" t="s">
        <v>64</v>
      </c>
      <c r="C35" s="8"/>
      <c r="D35" s="8"/>
      <c r="E35" s="8"/>
      <c r="F35" s="8"/>
      <c r="G35" s="8"/>
      <c r="H35" s="8"/>
      <c r="I35" s="8"/>
    </row>
    <row r="36" spans="2:9" ht="24" customHeight="1" x14ac:dyDescent="0.2">
      <c r="C36" s="33" t="s">
        <v>65</v>
      </c>
      <c r="D36" s="33" t="s">
        <v>66</v>
      </c>
      <c r="E36" s="33" t="s">
        <v>67</v>
      </c>
      <c r="F36" s="33" t="s">
        <v>68</v>
      </c>
      <c r="H36" s="33" t="s">
        <v>69</v>
      </c>
      <c r="I36" s="33" t="s">
        <v>70</v>
      </c>
    </row>
    <row r="37" spans="2:9" ht="24" customHeight="1" x14ac:dyDescent="0.2">
      <c r="B37" s="34"/>
      <c r="C37" s="30" t="s">
        <v>71</v>
      </c>
      <c r="D37" s="35">
        <f>'07_Cashflow_Bulanan'!N27</f>
        <v>1044579.8381512119</v>
      </c>
      <c r="E37" s="17" t="s">
        <v>72</v>
      </c>
      <c r="F37" s="36" t="s">
        <v>73</v>
      </c>
      <c r="G37" s="34"/>
      <c r="H37" s="29" t="str">
        <f>IF(ISNUMBER(D37),IF(D37&gt;0,"LAYAK","TIDAK LAYAK"),"—")</f>
        <v>LAYAK</v>
      </c>
      <c r="I37" s="22" t="s">
        <v>74</v>
      </c>
    </row>
    <row r="38" spans="2:9" ht="24" customHeight="1" x14ac:dyDescent="0.2">
      <c r="B38" s="34"/>
      <c r="C38" s="30" t="s">
        <v>75</v>
      </c>
      <c r="D38" s="37">
        <f>'07_Cashflow_Bulanan'!N28</f>
        <v>0.12773048281669616</v>
      </c>
      <c r="E38" s="17" t="s">
        <v>76</v>
      </c>
      <c r="F38" s="36" t="s">
        <v>77</v>
      </c>
      <c r="G38" s="34"/>
      <c r="H38" s="29" t="str">
        <f>IF(ISNUMBER(D38),IF(D38&gt;'06_Asumsi'!D5,"LAYAK","TIDAK LAYAK"),"—")</f>
        <v>LAYAK</v>
      </c>
      <c r="I38" s="22" t="s">
        <v>78</v>
      </c>
    </row>
    <row r="39" spans="2:9" ht="27.75" customHeight="1" x14ac:dyDescent="0.2">
      <c r="B39" s="34"/>
      <c r="C39" s="30" t="s">
        <v>79</v>
      </c>
      <c r="D39" s="38">
        <f>'07_Cashflow_Bulanan'!N29</f>
        <v>1.4316323201344083</v>
      </c>
      <c r="E39" s="17" t="s">
        <v>80</v>
      </c>
      <c r="F39" s="36" t="s">
        <v>81</v>
      </c>
      <c r="G39" s="34"/>
      <c r="H39" s="29" t="str">
        <f>IF(ISNUMBER(D39),IF(D39&gt;='06_Asumsi'!D8,"LAYAK",IF(D39&gt;='06_Asumsi'!D7,"BUTUH JUSTIFIKASI","TIDAK LAYAK")),"—")</f>
        <v>LAYAK</v>
      </c>
      <c r="I39" s="22" t="s">
        <v>82</v>
      </c>
    </row>
    <row r="40" spans="2:9" ht="24" customHeight="1" x14ac:dyDescent="0.2">
      <c r="B40" s="34"/>
      <c r="C40" s="30" t="s">
        <v>83</v>
      </c>
      <c r="D40" s="39">
        <f>'07_Cashflow_Bulanan'!N30</f>
        <v>0</v>
      </c>
      <c r="E40" s="17" t="s">
        <v>84</v>
      </c>
      <c r="F40" s="36" t="s">
        <v>85</v>
      </c>
      <c r="G40" s="34"/>
      <c r="H40" s="29" t="str">
        <f>IF(ISNUMBER(D40),IF(AND(D40&gt;0,D40&lt;C10),"LAYAK","WASPADA"),"—")</f>
        <v>WASPADA</v>
      </c>
      <c r="I40" s="22" t="s">
        <v>86</v>
      </c>
    </row>
    <row r="41" spans="2:9" ht="24" customHeight="1" x14ac:dyDescent="0.2">
      <c r="B41" s="34"/>
      <c r="C41" s="30" t="s">
        <v>87</v>
      </c>
      <c r="D41" s="37">
        <f>'07_Cashflow_Bulanan'!N31</f>
        <v>1.062983985813295</v>
      </c>
      <c r="E41" s="17" t="s">
        <v>88</v>
      </c>
      <c r="F41" s="36" t="s">
        <v>89</v>
      </c>
      <c r="G41" s="34"/>
      <c r="H41" s="29" t="str">
        <f>IF(ISNUMBER(D41),IF(D41&gt;0,"PROFIT","RUGI"),"—")</f>
        <v>PROFIT</v>
      </c>
      <c r="I41" s="22" t="s">
        <v>90</v>
      </c>
    </row>
    <row r="43" spans="2:9" ht="25.5" customHeight="1" x14ac:dyDescent="0.2">
      <c r="B43" s="6" t="s">
        <v>91</v>
      </c>
      <c r="C43" s="6"/>
      <c r="D43" s="6"/>
      <c r="E43" s="6"/>
      <c r="F43" s="6"/>
      <c r="G43" s="6"/>
      <c r="H43" s="6"/>
      <c r="I43" s="6"/>
    </row>
    <row r="44" spans="2:9" ht="49.5" customHeight="1" x14ac:dyDescent="0.2">
      <c r="B44" s="5" t="str">
        <f>IF(AND(D37&gt;0,D38&gt;'06_Asumsi'!D5,D39&gt;='06_Asumsi'!D8,D40&lt;C10),"✓ INVESTASI LAYAK — Semua kriteria (NPV&gt;0, XIRR&gt;WACC, BCR≥1.23 Mandatory, Payback&lt;durasi) terpenuhi. Lanjutkan ke approval.",IF(AND(D37&gt;0,D38&gt;'06_Asumsi'!D5,D39&gt;='06_Asumsi'!D7),"⚠ INVESTASI LAYAK DENGAN CATATAN — BCR antara Min (1.08) dan Mandatory (1.23). Lampirkan form justifikasi approval per Memo DirKeu 16/09/2025.",IF(AND(D37&gt;0,D38&gt;'06_Asumsi'!D5,D39&gt;1),"⚠ MARGINAL — BCR &lt; 1.08. Butuh persetujuan Direksi terkait sebelum dilanjutkan.","✗ TIDAK LAYAK — Salah satu kriteria utama tidak terpenuhi. Revisi pricing/asumsi atau tolak proyek.")))</f>
        <v>✓ INVESTASI LAYAK — Semua kriteria (NPV&gt;0, XIRR&gt;WACC, BCR≥1.23 Mandatory, Payback&lt;durasi) terpenuhi. Lanjutkan ke approval.</v>
      </c>
      <c r="C44" s="5"/>
      <c r="D44" s="5"/>
      <c r="E44" s="5"/>
      <c r="F44" s="5"/>
      <c r="G44" s="5"/>
      <c r="H44" s="5"/>
      <c r="I44" s="5"/>
    </row>
    <row r="46" spans="2:9" ht="21.75" customHeight="1" x14ac:dyDescent="0.2">
      <c r="B46" s="4" t="s">
        <v>92</v>
      </c>
      <c r="C46" s="4"/>
      <c r="D46" s="4"/>
      <c r="E46" s="4"/>
      <c r="F46" s="4"/>
      <c r="G46" s="4"/>
      <c r="H46" s="4"/>
      <c r="I46" s="4"/>
    </row>
    <row r="48" spans="2:9" ht="15" customHeight="1" x14ac:dyDescent="0.2">
      <c r="C48" s="40" t="s">
        <v>93</v>
      </c>
      <c r="E48" s="40" t="s">
        <v>94</v>
      </c>
      <c r="H48" s="40" t="s">
        <v>95</v>
      </c>
    </row>
    <row r="49" spans="3:8" ht="20.25" customHeight="1" x14ac:dyDescent="0.2">
      <c r="C49" s="41" t="s">
        <v>96</v>
      </c>
      <c r="E49" s="41" t="s">
        <v>97</v>
      </c>
      <c r="H49" s="41" t="s">
        <v>98</v>
      </c>
    </row>
    <row r="53" spans="3:8" ht="15" customHeight="1" x14ac:dyDescent="0.2">
      <c r="C53" s="41" t="str">
        <f>C13</f>
        <v>Solar</v>
      </c>
      <c r="E53" s="41" t="str">
        <f>C14</f>
        <v>(Nama Manager)</v>
      </c>
      <c r="H53" s="41" t="str">
        <f>C15</f>
        <v>(Nama GM)</v>
      </c>
    </row>
  </sheetData>
  <mergeCells count="17">
    <mergeCell ref="B44:I44"/>
    <mergeCell ref="B46:I46"/>
    <mergeCell ref="E31:I31"/>
    <mergeCell ref="E32:I32"/>
    <mergeCell ref="E33:I33"/>
    <mergeCell ref="B35:I35"/>
    <mergeCell ref="B43:I43"/>
    <mergeCell ref="B26:I26"/>
    <mergeCell ref="E27:I27"/>
    <mergeCell ref="E28:I28"/>
    <mergeCell ref="E29:I29"/>
    <mergeCell ref="E30:I30"/>
    <mergeCell ref="B2:I2"/>
    <mergeCell ref="B3:I3"/>
    <mergeCell ref="B4:I4"/>
    <mergeCell ref="B5:I5"/>
    <mergeCell ref="B17:I17"/>
  </mergeCells>
  <dataValidations count="1">
    <dataValidation type="whole" errorTitle="Input tidak valid" error="Durasi harus 1-12 bulan" sqref="C11" xr:uid="{00000000-0002-0000-0100-000000000000}">
      <formula1>1</formula1>
      <formula2>12</formula2>
    </dataValidation>
  </dataValidations>
  <hyperlinks>
    <hyperlink ref="D18" r:id="rId1" location="'02_Inv_Details'!A1" xr:uid="{00000000-0004-0000-0100-000000000000}"/>
    <hyperlink ref="D19" r:id="rId2" location="'03_CAPEX'!A1" xr:uid="{00000000-0004-0000-0100-000001000000}"/>
    <hyperlink ref="D20" r:id="rId3" location="'04_OPEX_Bulanan'!A1" xr:uid="{00000000-0004-0000-0100-000002000000}"/>
    <hyperlink ref="D21" r:id="rId4" location="'05_Pendapatan'!A1" xr:uid="{00000000-0004-0000-0100-000003000000}"/>
    <hyperlink ref="D22" r:id="rId5" location="'06_Asumsi'!A1" xr:uid="{00000000-0004-0000-0100-000004000000}"/>
    <hyperlink ref="D23" r:id="rId6" location="'07_Cashflow_Bulanan'!A1" xr:uid="{00000000-0004-0000-0100-000005000000}"/>
    <hyperlink ref="D24" r:id="rId7" location="'08_Ex_Summary'!A1" xr:uid="{00000000-0004-0000-0100-000006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7B"/>
  </sheetPr>
  <dimension ref="B2:F22"/>
  <sheetViews>
    <sheetView showGridLines="0" zoomScaleNormal="100" workbookViewId="0">
      <selection activeCell="D11" sqref="D11"/>
    </sheetView>
  </sheetViews>
  <sheetFormatPr baseColWidth="10" defaultColWidth="8.6640625" defaultRowHeight="15" x14ac:dyDescent="0.2"/>
  <cols>
    <col min="1" max="1" width="3" customWidth="1"/>
    <col min="2" max="2" width="6" customWidth="1"/>
    <col min="3" max="3" width="50" customWidth="1"/>
    <col min="4" max="4" width="20" customWidth="1"/>
    <col min="5" max="5" width="4" customWidth="1"/>
    <col min="6" max="6" width="50" customWidth="1"/>
  </cols>
  <sheetData>
    <row r="2" spans="2:6" ht="30" customHeight="1" x14ac:dyDescent="0.2">
      <c r="B2" s="12" t="s">
        <v>99</v>
      </c>
      <c r="C2" s="12"/>
      <c r="D2" s="12"/>
      <c r="E2" s="12"/>
      <c r="F2" s="12"/>
    </row>
    <row r="3" spans="2:6" ht="21.75" customHeight="1" x14ac:dyDescent="0.2">
      <c r="B3" s="3" t="s">
        <v>100</v>
      </c>
      <c r="C3" s="3"/>
      <c r="D3" s="3"/>
      <c r="E3" s="3"/>
      <c r="F3" s="3"/>
    </row>
    <row r="5" spans="2:6" ht="39.75" customHeight="1" x14ac:dyDescent="0.2">
      <c r="B5" s="2" t="s">
        <v>101</v>
      </c>
      <c r="C5" s="2"/>
      <c r="E5" s="42" t="s">
        <v>102</v>
      </c>
      <c r="F5" s="43" t="str">
        <f>'01_Menu'!C7</f>
        <v>(Isi nama pelanggan)</v>
      </c>
    </row>
    <row r="7" spans="2:6" ht="24" customHeight="1" x14ac:dyDescent="0.2">
      <c r="B7" s="33" t="s">
        <v>1</v>
      </c>
      <c r="C7" s="33" t="s">
        <v>103</v>
      </c>
      <c r="D7" s="33" t="s">
        <v>104</v>
      </c>
      <c r="F7" s="33" t="s">
        <v>105</v>
      </c>
    </row>
    <row r="8" spans="2:6" ht="24" customHeight="1" x14ac:dyDescent="0.2">
      <c r="B8" s="14">
        <v>1</v>
      </c>
      <c r="C8" s="30" t="s">
        <v>106</v>
      </c>
      <c r="D8" s="44">
        <v>50000000</v>
      </c>
      <c r="F8" s="22" t="s">
        <v>107</v>
      </c>
    </row>
    <row r="9" spans="2:6" ht="24" customHeight="1" x14ac:dyDescent="0.2">
      <c r="B9" s="14">
        <v>2</v>
      </c>
      <c r="C9" s="30" t="s">
        <v>108</v>
      </c>
      <c r="D9" s="44">
        <v>5000000</v>
      </c>
      <c r="F9" s="22" t="s">
        <v>109</v>
      </c>
    </row>
    <row r="10" spans="2:6" ht="24" customHeight="1" x14ac:dyDescent="0.2">
      <c r="B10" s="14">
        <v>3</v>
      </c>
      <c r="C10" s="30" t="s">
        <v>110</v>
      </c>
      <c r="D10" s="44">
        <v>20000000</v>
      </c>
      <c r="F10" s="22" t="s">
        <v>111</v>
      </c>
    </row>
    <row r="11" spans="2:6" ht="24" customHeight="1" x14ac:dyDescent="0.2">
      <c r="B11" s="14">
        <v>4</v>
      </c>
      <c r="C11" s="30" t="s">
        <v>112</v>
      </c>
      <c r="D11" s="44">
        <v>0</v>
      </c>
      <c r="F11" s="22" t="s">
        <v>113</v>
      </c>
    </row>
    <row r="12" spans="2:6" ht="24" customHeight="1" x14ac:dyDescent="0.2">
      <c r="B12" s="14">
        <v>5</v>
      </c>
      <c r="C12" s="30" t="s">
        <v>114</v>
      </c>
      <c r="D12" s="44">
        <v>0</v>
      </c>
      <c r="F12" s="22" t="s">
        <v>115</v>
      </c>
    </row>
    <row r="13" spans="2:6" ht="24" customHeight="1" x14ac:dyDescent="0.2">
      <c r="B13" s="14">
        <v>6</v>
      </c>
      <c r="C13" s="30" t="s">
        <v>116</v>
      </c>
      <c r="D13" s="44">
        <v>0</v>
      </c>
      <c r="F13" s="22" t="s">
        <v>117</v>
      </c>
    </row>
    <row r="14" spans="2:6" ht="24" customHeight="1" x14ac:dyDescent="0.2">
      <c r="B14" s="14">
        <v>7</v>
      </c>
      <c r="C14" s="30" t="s">
        <v>118</v>
      </c>
      <c r="D14" s="44">
        <v>0</v>
      </c>
      <c r="F14" s="22" t="s">
        <v>119</v>
      </c>
    </row>
    <row r="15" spans="2:6" ht="24" customHeight="1" x14ac:dyDescent="0.2">
      <c r="B15" s="14">
        <v>8</v>
      </c>
      <c r="C15" s="30" t="s">
        <v>120</v>
      </c>
      <c r="D15" s="44">
        <v>0</v>
      </c>
      <c r="F15" s="22" t="s">
        <v>121</v>
      </c>
    </row>
    <row r="16" spans="2:6" ht="25.5" customHeight="1" x14ac:dyDescent="0.2">
      <c r="C16" s="45" t="s">
        <v>122</v>
      </c>
      <c r="D16" s="46">
        <f>SUM(D8:D15)</f>
        <v>75000000</v>
      </c>
    </row>
    <row r="18" spans="2:6" ht="21.75" customHeight="1" x14ac:dyDescent="0.2">
      <c r="B18" s="1" t="s">
        <v>123</v>
      </c>
      <c r="C18" s="1"/>
      <c r="D18" s="1"/>
      <c r="E18" s="1"/>
      <c r="F18" s="1"/>
    </row>
    <row r="19" spans="2:6" ht="19.5" customHeight="1" x14ac:dyDescent="0.2">
      <c r="B19" s="75" t="s">
        <v>124</v>
      </c>
      <c r="C19" s="75"/>
      <c r="D19" s="75"/>
      <c r="E19" s="75"/>
      <c r="F19" s="75"/>
    </row>
    <row r="20" spans="2:6" ht="19.5" customHeight="1" x14ac:dyDescent="0.2">
      <c r="B20" s="75" t="s">
        <v>125</v>
      </c>
      <c r="C20" s="75"/>
      <c r="D20" s="75"/>
      <c r="E20" s="75"/>
      <c r="F20" s="75"/>
    </row>
    <row r="21" spans="2:6" ht="19.5" customHeight="1" x14ac:dyDescent="0.2">
      <c r="B21" s="75" t="s">
        <v>126</v>
      </c>
      <c r="C21" s="75"/>
      <c r="D21" s="75"/>
      <c r="E21" s="75"/>
      <c r="F21" s="75"/>
    </row>
    <row r="22" spans="2:6" ht="19.5" customHeight="1" x14ac:dyDescent="0.2">
      <c r="B22" s="75" t="s">
        <v>127</v>
      </c>
      <c r="C22" s="75"/>
      <c r="D22" s="75"/>
      <c r="E22" s="75"/>
      <c r="F22" s="75"/>
    </row>
  </sheetData>
  <mergeCells count="8">
    <mergeCell ref="B20:F20"/>
    <mergeCell ref="B21:F21"/>
    <mergeCell ref="B22:F22"/>
    <mergeCell ref="B2:F2"/>
    <mergeCell ref="B3:F3"/>
    <mergeCell ref="B5:C5"/>
    <mergeCell ref="B18:F18"/>
    <mergeCell ref="B19:F19"/>
  </mergeCells>
  <hyperlinks>
    <hyperlink ref="B5" r:id="rId1" location="'01_Menu'!A1" xr:uid="{00000000-0004-0000-0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D7B"/>
  </sheetPr>
  <dimension ref="B2:F20"/>
  <sheetViews>
    <sheetView showGridLines="0" zoomScaleNormal="100" workbookViewId="0">
      <selection activeCell="D10" sqref="D10"/>
    </sheetView>
  </sheetViews>
  <sheetFormatPr baseColWidth="10" defaultColWidth="8.6640625" defaultRowHeight="15" x14ac:dyDescent="0.2"/>
  <cols>
    <col min="1" max="1" width="3" customWidth="1"/>
    <col min="2" max="2" width="6" customWidth="1"/>
    <col min="3" max="3" width="50" customWidth="1"/>
    <col min="4" max="4" width="20" customWidth="1"/>
    <col min="5" max="5" width="4" customWidth="1"/>
    <col min="6" max="6" width="50" customWidth="1"/>
  </cols>
  <sheetData>
    <row r="2" spans="2:6" ht="30" customHeight="1" x14ac:dyDescent="0.2">
      <c r="B2" s="12" t="s">
        <v>128</v>
      </c>
      <c r="C2" s="12"/>
      <c r="D2" s="12"/>
      <c r="E2" s="12"/>
      <c r="F2" s="12"/>
    </row>
    <row r="3" spans="2:6" ht="21.75" customHeight="1" x14ac:dyDescent="0.2">
      <c r="B3" s="3" t="s">
        <v>129</v>
      </c>
      <c r="C3" s="3"/>
      <c r="D3" s="3"/>
      <c r="E3" s="3"/>
      <c r="F3" s="3"/>
    </row>
    <row r="5" spans="2:6" ht="15" customHeight="1" x14ac:dyDescent="0.2">
      <c r="B5" s="2" t="s">
        <v>101</v>
      </c>
      <c r="C5" s="2"/>
    </row>
    <row r="7" spans="2:6" ht="24" customHeight="1" x14ac:dyDescent="0.2">
      <c r="B7" s="33" t="s">
        <v>1</v>
      </c>
      <c r="C7" s="33" t="s">
        <v>103</v>
      </c>
      <c r="D7" s="33" t="s">
        <v>104</v>
      </c>
      <c r="F7" s="33" t="s">
        <v>130</v>
      </c>
    </row>
    <row r="8" spans="2:6" ht="15" customHeight="1" x14ac:dyDescent="0.2">
      <c r="B8" s="29" t="s">
        <v>131</v>
      </c>
      <c r="C8" s="47" t="s">
        <v>132</v>
      </c>
      <c r="D8" s="48">
        <f>D9+D10+D11+D15</f>
        <v>75000000</v>
      </c>
      <c r="E8" s="34"/>
      <c r="F8" s="34"/>
    </row>
    <row r="9" spans="2:6" ht="15" customHeight="1" x14ac:dyDescent="0.2">
      <c r="B9" s="14" t="s">
        <v>133</v>
      </c>
      <c r="C9" s="30" t="s">
        <v>134</v>
      </c>
      <c r="D9" s="44">
        <v>0</v>
      </c>
      <c r="F9" s="22" t="s">
        <v>135</v>
      </c>
    </row>
    <row r="10" spans="2:6" ht="15" customHeight="1" x14ac:dyDescent="0.2">
      <c r="B10" s="14" t="s">
        <v>136</v>
      </c>
      <c r="C10" s="30" t="s">
        <v>137</v>
      </c>
      <c r="D10" s="32">
        <f>'02_Inv_Details'!D16</f>
        <v>75000000</v>
      </c>
      <c r="F10" s="22" t="s">
        <v>138</v>
      </c>
    </row>
    <row r="11" spans="2:6" ht="15" customHeight="1" x14ac:dyDescent="0.2">
      <c r="B11" s="14" t="s">
        <v>139</v>
      </c>
      <c r="C11" s="30" t="s">
        <v>140</v>
      </c>
      <c r="D11" s="32">
        <f>D12+D13+D14</f>
        <v>0</v>
      </c>
      <c r="F11" s="22" t="s">
        <v>141</v>
      </c>
    </row>
    <row r="12" spans="2:6" ht="15" customHeight="1" x14ac:dyDescent="0.2">
      <c r="B12" s="34"/>
      <c r="C12" s="30" t="s">
        <v>142</v>
      </c>
      <c r="D12" s="44">
        <v>0</v>
      </c>
      <c r="F12" s="34"/>
    </row>
    <row r="13" spans="2:6" ht="15" customHeight="1" x14ac:dyDescent="0.2">
      <c r="B13" s="34"/>
      <c r="C13" s="30" t="s">
        <v>143</v>
      </c>
      <c r="D13" s="44">
        <v>0</v>
      </c>
      <c r="F13" s="34"/>
    </row>
    <row r="14" spans="2:6" ht="15" customHeight="1" x14ac:dyDescent="0.2">
      <c r="B14" s="34"/>
      <c r="C14" s="30" t="s">
        <v>144</v>
      </c>
      <c r="D14" s="44">
        <v>0</v>
      </c>
      <c r="F14" s="34"/>
    </row>
    <row r="15" spans="2:6" ht="15" customHeight="1" x14ac:dyDescent="0.2">
      <c r="B15" s="14" t="s">
        <v>145</v>
      </c>
      <c r="C15" s="30" t="s">
        <v>146</v>
      </c>
      <c r="D15" s="44">
        <v>0</v>
      </c>
      <c r="F15" s="34"/>
    </row>
    <row r="17" spans="2:6" ht="15" customHeight="1" x14ac:dyDescent="0.2">
      <c r="B17" s="29" t="s">
        <v>147</v>
      </c>
      <c r="C17" s="47" t="s">
        <v>148</v>
      </c>
      <c r="D17" s="44">
        <v>0</v>
      </c>
      <c r="E17" s="34"/>
      <c r="F17" s="22" t="s">
        <v>149</v>
      </c>
    </row>
    <row r="18" spans="2:6" ht="15" customHeight="1" x14ac:dyDescent="0.2">
      <c r="B18" s="29" t="s">
        <v>150</v>
      </c>
      <c r="C18" s="47" t="s">
        <v>151</v>
      </c>
      <c r="D18" s="44">
        <v>0</v>
      </c>
      <c r="E18" s="34"/>
      <c r="F18" s="22" t="s">
        <v>152</v>
      </c>
    </row>
    <row r="20" spans="2:6" ht="30" customHeight="1" x14ac:dyDescent="0.2">
      <c r="C20" s="49" t="s">
        <v>153</v>
      </c>
      <c r="D20" s="50">
        <f>D8+D17+D18</f>
        <v>75000000</v>
      </c>
      <c r="F20" s="51" t="s">
        <v>154</v>
      </c>
    </row>
  </sheetData>
  <mergeCells count="3">
    <mergeCell ref="B2:F2"/>
    <mergeCell ref="B3:F3"/>
    <mergeCell ref="B5:C5"/>
  </mergeCells>
  <hyperlinks>
    <hyperlink ref="B5" r:id="rId1" location="'01_Menu'!A1" xr:uid="{00000000-0004-0000-0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D7B"/>
  </sheetPr>
  <dimension ref="B2:Q21"/>
  <sheetViews>
    <sheetView showGridLines="0" zoomScaleNormal="10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E9" sqref="E9"/>
    </sheetView>
  </sheetViews>
  <sheetFormatPr baseColWidth="10" defaultColWidth="8.6640625" defaultRowHeight="15" x14ac:dyDescent="0.2"/>
  <cols>
    <col min="1" max="1" width="3" customWidth="1"/>
    <col min="2" max="2" width="5" customWidth="1"/>
    <col min="3" max="3" width="32" customWidth="1"/>
    <col min="4" max="4" width="8" customWidth="1"/>
    <col min="5" max="5" width="16" customWidth="1"/>
    <col min="6" max="17" width="13" customWidth="1"/>
  </cols>
  <sheetData>
    <row r="2" spans="2:17" ht="30" customHeight="1" x14ac:dyDescent="0.2">
      <c r="B2" s="12" t="s">
        <v>155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2:17" ht="21.75" customHeight="1" x14ac:dyDescent="0.2">
      <c r="B3" s="3" t="s">
        <v>156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5" spans="2:17" ht="20.25" customHeight="1" x14ac:dyDescent="0.2">
      <c r="B5" s="2" t="s">
        <v>101</v>
      </c>
      <c r="C5" s="2"/>
      <c r="E5" s="42" t="s">
        <v>157</v>
      </c>
      <c r="F5" s="32">
        <f>'05_Pendapatan'!J20</f>
        <v>8900000</v>
      </c>
      <c r="H5" s="42" t="s">
        <v>158</v>
      </c>
      <c r="I5" s="52">
        <f>(1+'06_Asumsi'!D11)^(1/12)-1</f>
        <v>2.0529052922801938E-4</v>
      </c>
    </row>
    <row r="7" spans="2:17" ht="24" customHeight="1" x14ac:dyDescent="0.2">
      <c r="B7" s="33" t="s">
        <v>1</v>
      </c>
      <c r="C7" s="33" t="s">
        <v>159</v>
      </c>
      <c r="D7" s="33" t="s">
        <v>160</v>
      </c>
      <c r="E7" s="33" t="s">
        <v>161</v>
      </c>
      <c r="F7" s="33" t="s">
        <v>162</v>
      </c>
      <c r="G7" s="33" t="s">
        <v>163</v>
      </c>
      <c r="H7" s="33" t="s">
        <v>164</v>
      </c>
      <c r="I7" s="33" t="s">
        <v>165</v>
      </c>
      <c r="J7" s="33" t="s">
        <v>166</v>
      </c>
      <c r="K7" s="33" t="s">
        <v>167</v>
      </c>
      <c r="L7" s="33" t="s">
        <v>168</v>
      </c>
      <c r="M7" s="33" t="s">
        <v>169</v>
      </c>
      <c r="N7" s="33" t="s">
        <v>170</v>
      </c>
      <c r="O7" s="33" t="s">
        <v>171</v>
      </c>
      <c r="P7" s="33" t="s">
        <v>172</v>
      </c>
      <c r="Q7" s="33" t="s">
        <v>173</v>
      </c>
    </row>
    <row r="8" spans="2:17" ht="21.75" customHeight="1" x14ac:dyDescent="0.2">
      <c r="B8" s="14">
        <v>1</v>
      </c>
      <c r="C8" s="30" t="s">
        <v>174</v>
      </c>
      <c r="D8" s="53">
        <v>0.25</v>
      </c>
      <c r="E8" s="32">
        <f t="shared" ref="E8:E14" si="0">D8*$F$5</f>
        <v>2225000</v>
      </c>
      <c r="F8" s="32">
        <f t="shared" ref="F8:F14" si="1">$E8*(1+$I$5)^(1-1)</f>
        <v>2225000</v>
      </c>
      <c r="G8" s="32">
        <f t="shared" ref="G8:G14" si="2">$E8*(1+$I$5)^(2-1)</f>
        <v>2225456.7714275322</v>
      </c>
      <c r="H8" s="32">
        <f t="shared" ref="H8:H14" si="3">$E8*(1+$I$5)^(3-1)</f>
        <v>2225913.636625913</v>
      </c>
      <c r="I8" s="32">
        <f t="shared" ref="I8:I14" si="4">$E8*(1+$I$5)^(4-1)</f>
        <v>2226370.5956143918</v>
      </c>
      <c r="J8" s="32">
        <f t="shared" ref="J8:J14" si="5">$E8*(1+$I$5)^(5-1)</f>
        <v>2226827.6484122234</v>
      </c>
      <c r="K8" s="32">
        <f t="shared" ref="K8:K14" si="6">$E8*(1+$I$5)^(6-1)</f>
        <v>2227284.7950386652</v>
      </c>
      <c r="L8" s="32">
        <f t="shared" ref="L8:L14" si="7">$E8*(1+$I$5)^(7-1)</f>
        <v>2227742.035512981</v>
      </c>
      <c r="M8" s="32">
        <f t="shared" ref="M8:M14" si="8">$E8*(1+$I$5)^(8-1)</f>
        <v>2228199.3698544349</v>
      </c>
      <c r="N8" s="32">
        <f t="shared" ref="N8:N14" si="9">$E8*(1+$I$5)^(9-1)</f>
        <v>2228656.7980822981</v>
      </c>
      <c r="O8" s="32">
        <f t="shared" ref="O8:O14" si="10">$E8*(1+$I$5)^(10-1)</f>
        <v>2229114.3202158441</v>
      </c>
      <c r="P8" s="32">
        <f t="shared" ref="P8:P14" si="11">$E8*(1+$I$5)^(11-1)</f>
        <v>2229571.9362743511</v>
      </c>
      <c r="Q8" s="32">
        <f t="shared" ref="Q8:Q14" si="12">$E8*(1+$I$5)^(12-1)</f>
        <v>2230029.6462771012</v>
      </c>
    </row>
    <row r="9" spans="2:17" ht="21.75" customHeight="1" x14ac:dyDescent="0.2">
      <c r="B9" s="14">
        <v>2</v>
      </c>
      <c r="C9" s="30" t="s">
        <v>175</v>
      </c>
      <c r="D9" s="53">
        <v>0.05</v>
      </c>
      <c r="E9" s="32">
        <f t="shared" si="0"/>
        <v>445000</v>
      </c>
      <c r="F9" s="32">
        <f t="shared" si="1"/>
        <v>445000</v>
      </c>
      <c r="G9" s="32">
        <f t="shared" si="2"/>
        <v>445091.35428550647</v>
      </c>
      <c r="H9" s="32">
        <f t="shared" si="3"/>
        <v>445182.72732518258</v>
      </c>
      <c r="I9" s="32">
        <f t="shared" si="4"/>
        <v>445274.11912287836</v>
      </c>
      <c r="J9" s="32">
        <f t="shared" si="5"/>
        <v>445365.5296824447</v>
      </c>
      <c r="K9" s="32">
        <f t="shared" si="6"/>
        <v>445456.95900773309</v>
      </c>
      <c r="L9" s="32">
        <f t="shared" si="7"/>
        <v>445548.40710259619</v>
      </c>
      <c r="M9" s="32">
        <f t="shared" si="8"/>
        <v>445639.87397088693</v>
      </c>
      <c r="N9" s="32">
        <f t="shared" si="9"/>
        <v>445731.35961645958</v>
      </c>
      <c r="O9" s="32">
        <f t="shared" si="10"/>
        <v>445822.86404316878</v>
      </c>
      <c r="P9" s="32">
        <f t="shared" si="11"/>
        <v>445914.38725487015</v>
      </c>
      <c r="Q9" s="32">
        <f t="shared" si="12"/>
        <v>446005.92925542023</v>
      </c>
    </row>
    <row r="10" spans="2:17" ht="21.75" customHeight="1" x14ac:dyDescent="0.2">
      <c r="B10" s="14">
        <v>3</v>
      </c>
      <c r="C10" s="30" t="s">
        <v>176</v>
      </c>
      <c r="D10" s="53">
        <v>0</v>
      </c>
      <c r="E10" s="32">
        <f t="shared" si="0"/>
        <v>0</v>
      </c>
      <c r="F10" s="32">
        <f t="shared" si="1"/>
        <v>0</v>
      </c>
      <c r="G10" s="32">
        <f t="shared" si="2"/>
        <v>0</v>
      </c>
      <c r="H10" s="32">
        <f t="shared" si="3"/>
        <v>0</v>
      </c>
      <c r="I10" s="32">
        <f t="shared" si="4"/>
        <v>0</v>
      </c>
      <c r="J10" s="32">
        <f t="shared" si="5"/>
        <v>0</v>
      </c>
      <c r="K10" s="32">
        <f t="shared" si="6"/>
        <v>0</v>
      </c>
      <c r="L10" s="32">
        <f t="shared" si="7"/>
        <v>0</v>
      </c>
      <c r="M10" s="32">
        <f t="shared" si="8"/>
        <v>0</v>
      </c>
      <c r="N10" s="32">
        <f t="shared" si="9"/>
        <v>0</v>
      </c>
      <c r="O10" s="32">
        <f t="shared" si="10"/>
        <v>0</v>
      </c>
      <c r="P10" s="32">
        <f t="shared" si="11"/>
        <v>0</v>
      </c>
      <c r="Q10" s="32">
        <f t="shared" si="12"/>
        <v>0</v>
      </c>
    </row>
    <row r="11" spans="2:17" ht="21.75" customHeight="1" x14ac:dyDescent="0.2">
      <c r="B11" s="14">
        <v>4</v>
      </c>
      <c r="C11" s="30" t="s">
        <v>177</v>
      </c>
      <c r="D11" s="53">
        <v>0</v>
      </c>
      <c r="E11" s="32">
        <f t="shared" si="0"/>
        <v>0</v>
      </c>
      <c r="F11" s="32">
        <f t="shared" si="1"/>
        <v>0</v>
      </c>
      <c r="G11" s="32">
        <f t="shared" si="2"/>
        <v>0</v>
      </c>
      <c r="H11" s="32">
        <f t="shared" si="3"/>
        <v>0</v>
      </c>
      <c r="I11" s="32">
        <f t="shared" si="4"/>
        <v>0</v>
      </c>
      <c r="J11" s="32">
        <f t="shared" si="5"/>
        <v>0</v>
      </c>
      <c r="K11" s="32">
        <f t="shared" si="6"/>
        <v>0</v>
      </c>
      <c r="L11" s="32">
        <f t="shared" si="7"/>
        <v>0</v>
      </c>
      <c r="M11" s="32">
        <f t="shared" si="8"/>
        <v>0</v>
      </c>
      <c r="N11" s="32">
        <f t="shared" si="9"/>
        <v>0</v>
      </c>
      <c r="O11" s="32">
        <f t="shared" si="10"/>
        <v>0</v>
      </c>
      <c r="P11" s="32">
        <f t="shared" si="11"/>
        <v>0</v>
      </c>
      <c r="Q11" s="32">
        <f t="shared" si="12"/>
        <v>0</v>
      </c>
    </row>
    <row r="12" spans="2:17" ht="21.75" customHeight="1" x14ac:dyDescent="0.2">
      <c r="B12" s="14">
        <v>5</v>
      </c>
      <c r="C12" s="30" t="s">
        <v>178</v>
      </c>
      <c r="D12" s="53">
        <v>0</v>
      </c>
      <c r="E12" s="32">
        <f t="shared" si="0"/>
        <v>0</v>
      </c>
      <c r="F12" s="32">
        <f t="shared" si="1"/>
        <v>0</v>
      </c>
      <c r="G12" s="32">
        <f t="shared" si="2"/>
        <v>0</v>
      </c>
      <c r="H12" s="32">
        <f t="shared" si="3"/>
        <v>0</v>
      </c>
      <c r="I12" s="32">
        <f t="shared" si="4"/>
        <v>0</v>
      </c>
      <c r="J12" s="32">
        <f t="shared" si="5"/>
        <v>0</v>
      </c>
      <c r="K12" s="32">
        <f t="shared" si="6"/>
        <v>0</v>
      </c>
      <c r="L12" s="32">
        <f t="shared" si="7"/>
        <v>0</v>
      </c>
      <c r="M12" s="32">
        <f t="shared" si="8"/>
        <v>0</v>
      </c>
      <c r="N12" s="32">
        <f t="shared" si="9"/>
        <v>0</v>
      </c>
      <c r="O12" s="32">
        <f t="shared" si="10"/>
        <v>0</v>
      </c>
      <c r="P12" s="32">
        <f t="shared" si="11"/>
        <v>0</v>
      </c>
      <c r="Q12" s="32">
        <f t="shared" si="12"/>
        <v>0</v>
      </c>
    </row>
    <row r="13" spans="2:17" ht="21.75" customHeight="1" x14ac:dyDescent="0.2">
      <c r="B13" s="14">
        <v>6</v>
      </c>
      <c r="C13" s="30" t="s">
        <v>179</v>
      </c>
      <c r="D13" s="53">
        <v>0</v>
      </c>
      <c r="E13" s="32">
        <f t="shared" si="0"/>
        <v>0</v>
      </c>
      <c r="F13" s="32">
        <f t="shared" si="1"/>
        <v>0</v>
      </c>
      <c r="G13" s="32">
        <f t="shared" si="2"/>
        <v>0</v>
      </c>
      <c r="H13" s="32">
        <f t="shared" si="3"/>
        <v>0</v>
      </c>
      <c r="I13" s="32">
        <f t="shared" si="4"/>
        <v>0</v>
      </c>
      <c r="J13" s="32">
        <f t="shared" si="5"/>
        <v>0</v>
      </c>
      <c r="K13" s="32">
        <f t="shared" si="6"/>
        <v>0</v>
      </c>
      <c r="L13" s="32">
        <f t="shared" si="7"/>
        <v>0</v>
      </c>
      <c r="M13" s="32">
        <f t="shared" si="8"/>
        <v>0</v>
      </c>
      <c r="N13" s="32">
        <f t="shared" si="9"/>
        <v>0</v>
      </c>
      <c r="O13" s="32">
        <f t="shared" si="10"/>
        <v>0</v>
      </c>
      <c r="P13" s="32">
        <f t="shared" si="11"/>
        <v>0</v>
      </c>
      <c r="Q13" s="32">
        <f t="shared" si="12"/>
        <v>0</v>
      </c>
    </row>
    <row r="14" spans="2:17" ht="21.75" customHeight="1" x14ac:dyDescent="0.2">
      <c r="B14" s="14">
        <v>7</v>
      </c>
      <c r="C14" s="30" t="s">
        <v>180</v>
      </c>
      <c r="D14" s="53">
        <v>0</v>
      </c>
      <c r="E14" s="32">
        <f t="shared" si="0"/>
        <v>0</v>
      </c>
      <c r="F14" s="32">
        <f t="shared" si="1"/>
        <v>0</v>
      </c>
      <c r="G14" s="32">
        <f t="shared" si="2"/>
        <v>0</v>
      </c>
      <c r="H14" s="32">
        <f t="shared" si="3"/>
        <v>0</v>
      </c>
      <c r="I14" s="32">
        <f t="shared" si="4"/>
        <v>0</v>
      </c>
      <c r="J14" s="32">
        <f t="shared" si="5"/>
        <v>0</v>
      </c>
      <c r="K14" s="32">
        <f t="shared" si="6"/>
        <v>0</v>
      </c>
      <c r="L14" s="32">
        <f t="shared" si="7"/>
        <v>0</v>
      </c>
      <c r="M14" s="32">
        <f t="shared" si="8"/>
        <v>0</v>
      </c>
      <c r="N14" s="32">
        <f t="shared" si="9"/>
        <v>0</v>
      </c>
      <c r="O14" s="32">
        <f t="shared" si="10"/>
        <v>0</v>
      </c>
      <c r="P14" s="32">
        <f t="shared" si="11"/>
        <v>0</v>
      </c>
      <c r="Q14" s="32">
        <f t="shared" si="12"/>
        <v>0</v>
      </c>
    </row>
    <row r="15" spans="2:17" ht="25.5" customHeight="1" x14ac:dyDescent="0.2">
      <c r="C15" s="54" t="s">
        <v>181</v>
      </c>
      <c r="E15" s="55" t="s">
        <v>182</v>
      </c>
      <c r="F15" s="46">
        <f t="shared" ref="F15:Q15" si="13">SUM(F8:F14)</f>
        <v>2670000</v>
      </c>
      <c r="G15" s="46">
        <f t="shared" si="13"/>
        <v>2670548.1257130387</v>
      </c>
      <c r="H15" s="46">
        <f t="shared" si="13"/>
        <v>2671096.3639510954</v>
      </c>
      <c r="I15" s="46">
        <f t="shared" si="13"/>
        <v>2671644.71473727</v>
      </c>
      <c r="J15" s="46">
        <f t="shared" si="13"/>
        <v>2672193.1780946683</v>
      </c>
      <c r="K15" s="46">
        <f t="shared" si="13"/>
        <v>2672741.7540463982</v>
      </c>
      <c r="L15" s="46">
        <f t="shared" si="13"/>
        <v>2673290.442615577</v>
      </c>
      <c r="M15" s="46">
        <f t="shared" si="13"/>
        <v>2673839.243825322</v>
      </c>
      <c r="N15" s="46">
        <f t="shared" si="13"/>
        <v>2674388.1576987579</v>
      </c>
      <c r="O15" s="46">
        <f t="shared" si="13"/>
        <v>2674937.1842590128</v>
      </c>
      <c r="P15" s="46">
        <f t="shared" si="13"/>
        <v>2675486.3235292211</v>
      </c>
      <c r="Q15" s="46">
        <f t="shared" si="13"/>
        <v>2676035.5755325216</v>
      </c>
    </row>
    <row r="17" spans="2:17" ht="19.5" customHeight="1" x14ac:dyDescent="0.2">
      <c r="B17" s="1" t="s">
        <v>183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2:17" ht="19.5" customHeight="1" x14ac:dyDescent="0.2">
      <c r="B18" s="75" t="s">
        <v>184</v>
      </c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</row>
    <row r="19" spans="2:17" ht="19.5" customHeight="1" x14ac:dyDescent="0.2">
      <c r="B19" s="75" t="s">
        <v>185</v>
      </c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</row>
    <row r="20" spans="2:17" ht="19.5" customHeight="1" x14ac:dyDescent="0.2">
      <c r="B20" s="75" t="s">
        <v>186</v>
      </c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</row>
    <row r="21" spans="2:17" ht="19.5" customHeight="1" x14ac:dyDescent="0.2">
      <c r="B21" s="75" t="s">
        <v>187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</row>
  </sheetData>
  <mergeCells count="8">
    <mergeCell ref="B19:Q19"/>
    <mergeCell ref="B20:Q20"/>
    <mergeCell ref="B21:Q21"/>
    <mergeCell ref="B2:Q2"/>
    <mergeCell ref="B3:Q3"/>
    <mergeCell ref="B5:C5"/>
    <mergeCell ref="B17:Q17"/>
    <mergeCell ref="B18:Q18"/>
  </mergeCells>
  <hyperlinks>
    <hyperlink ref="B5" r:id="rId1" location="'01_Menu'!A1" xr:uid="{00000000-0004-0000-04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D7B"/>
  </sheetPr>
  <dimension ref="B2:J26"/>
  <sheetViews>
    <sheetView showGridLines="0" zoomScaleNormal="100" workbookViewId="0">
      <selection activeCell="F9" sqref="F9"/>
    </sheetView>
  </sheetViews>
  <sheetFormatPr baseColWidth="10" defaultColWidth="8.6640625" defaultRowHeight="15" x14ac:dyDescent="0.2"/>
  <cols>
    <col min="1" max="1" width="3" customWidth="1"/>
    <col min="2" max="2" width="5" customWidth="1"/>
    <col min="3" max="3" width="22" customWidth="1"/>
    <col min="4" max="4" width="20" customWidth="1"/>
    <col min="5" max="5" width="22" customWidth="1"/>
    <col min="6" max="6" width="14" customWidth="1"/>
    <col min="7" max="7" width="8" customWidth="1"/>
    <col min="8" max="10" width="16" customWidth="1"/>
  </cols>
  <sheetData>
    <row r="2" spans="2:10" ht="30" customHeight="1" x14ac:dyDescent="0.2">
      <c r="B2" s="12" t="s">
        <v>188</v>
      </c>
      <c r="C2" s="12"/>
      <c r="D2" s="12"/>
      <c r="E2" s="12"/>
      <c r="F2" s="12"/>
      <c r="G2" s="12"/>
      <c r="H2" s="12"/>
      <c r="I2" s="12"/>
      <c r="J2" s="12"/>
    </row>
    <row r="3" spans="2:10" ht="21.75" customHeight="1" x14ac:dyDescent="0.2">
      <c r="B3" s="3" t="s">
        <v>189</v>
      </c>
      <c r="C3" s="3"/>
      <c r="D3" s="3"/>
      <c r="E3" s="3"/>
      <c r="F3" s="3"/>
      <c r="G3" s="3"/>
      <c r="H3" s="3"/>
      <c r="I3" s="3"/>
      <c r="J3" s="3"/>
    </row>
    <row r="5" spans="2:10" ht="15" customHeight="1" x14ac:dyDescent="0.2">
      <c r="B5" s="2" t="s">
        <v>101</v>
      </c>
      <c r="C5" s="2"/>
    </row>
    <row r="7" spans="2:10" ht="25.5" customHeight="1" x14ac:dyDescent="0.2">
      <c r="B7" s="33" t="s">
        <v>1</v>
      </c>
      <c r="C7" s="33" t="s">
        <v>190</v>
      </c>
      <c r="D7" s="33" t="s">
        <v>14</v>
      </c>
      <c r="E7" s="33" t="s">
        <v>191</v>
      </c>
      <c r="F7" s="33" t="s">
        <v>192</v>
      </c>
      <c r="G7" s="33" t="s">
        <v>193</v>
      </c>
      <c r="H7" s="33" t="s">
        <v>67</v>
      </c>
      <c r="I7" s="33" t="s">
        <v>194</v>
      </c>
      <c r="J7" s="33" t="s">
        <v>195</v>
      </c>
    </row>
    <row r="8" spans="2:10" ht="21.75" customHeight="1" x14ac:dyDescent="0.2">
      <c r="B8" s="14">
        <v>1</v>
      </c>
      <c r="C8" s="28" t="s">
        <v>196</v>
      </c>
      <c r="D8" s="28" t="s">
        <v>197</v>
      </c>
      <c r="E8" s="28" t="s">
        <v>198</v>
      </c>
      <c r="F8" s="56">
        <v>8900000</v>
      </c>
      <c r="G8" s="56">
        <v>1</v>
      </c>
      <c r="H8" s="57" t="s">
        <v>199</v>
      </c>
      <c r="I8" s="56">
        <v>5000000</v>
      </c>
      <c r="J8" s="32">
        <f t="shared" ref="J8:J19" si="0">F8*G8</f>
        <v>8900000</v>
      </c>
    </row>
    <row r="9" spans="2:10" ht="21.75" customHeight="1" x14ac:dyDescent="0.2">
      <c r="B9" s="14">
        <v>2</v>
      </c>
      <c r="C9" s="28"/>
      <c r="D9" s="28"/>
      <c r="E9" s="28"/>
      <c r="F9" s="56">
        <v>0</v>
      </c>
      <c r="G9" s="56">
        <v>0</v>
      </c>
      <c r="H9" s="57" t="s">
        <v>199</v>
      </c>
      <c r="I9" s="56">
        <v>0</v>
      </c>
      <c r="J9" s="32">
        <f t="shared" si="0"/>
        <v>0</v>
      </c>
    </row>
    <row r="10" spans="2:10" ht="21.75" customHeight="1" x14ac:dyDescent="0.2">
      <c r="B10" s="14">
        <v>3</v>
      </c>
      <c r="C10" s="28"/>
      <c r="D10" s="28"/>
      <c r="E10" s="28"/>
      <c r="F10" s="56">
        <v>0</v>
      </c>
      <c r="G10" s="56">
        <v>0</v>
      </c>
      <c r="H10" s="57" t="s">
        <v>199</v>
      </c>
      <c r="I10" s="56">
        <v>0</v>
      </c>
      <c r="J10" s="32">
        <f t="shared" si="0"/>
        <v>0</v>
      </c>
    </row>
    <row r="11" spans="2:10" ht="21.75" customHeight="1" x14ac:dyDescent="0.2">
      <c r="B11" s="14">
        <v>4</v>
      </c>
      <c r="C11" s="28"/>
      <c r="D11" s="28"/>
      <c r="E11" s="28"/>
      <c r="F11" s="56">
        <v>0</v>
      </c>
      <c r="G11" s="56">
        <v>0</v>
      </c>
      <c r="H11" s="57" t="s">
        <v>199</v>
      </c>
      <c r="I11" s="56">
        <v>0</v>
      </c>
      <c r="J11" s="32">
        <f t="shared" si="0"/>
        <v>0</v>
      </c>
    </row>
    <row r="12" spans="2:10" ht="21.75" customHeight="1" x14ac:dyDescent="0.2">
      <c r="B12" s="14">
        <v>5</v>
      </c>
      <c r="C12" s="28"/>
      <c r="D12" s="28"/>
      <c r="E12" s="28"/>
      <c r="F12" s="56">
        <v>0</v>
      </c>
      <c r="G12" s="56">
        <v>0</v>
      </c>
      <c r="H12" s="57" t="s">
        <v>199</v>
      </c>
      <c r="I12" s="56">
        <v>0</v>
      </c>
      <c r="J12" s="32">
        <f t="shared" si="0"/>
        <v>0</v>
      </c>
    </row>
    <row r="13" spans="2:10" ht="21.75" customHeight="1" x14ac:dyDescent="0.2">
      <c r="B13" s="14">
        <v>6</v>
      </c>
      <c r="C13" s="28"/>
      <c r="D13" s="28"/>
      <c r="E13" s="28"/>
      <c r="F13" s="56">
        <v>0</v>
      </c>
      <c r="G13" s="56">
        <v>0</v>
      </c>
      <c r="H13" s="57" t="s">
        <v>199</v>
      </c>
      <c r="I13" s="56">
        <v>0</v>
      </c>
      <c r="J13" s="32">
        <f t="shared" si="0"/>
        <v>0</v>
      </c>
    </row>
    <row r="14" spans="2:10" ht="21.75" customHeight="1" x14ac:dyDescent="0.2">
      <c r="B14" s="14">
        <v>7</v>
      </c>
      <c r="C14" s="28"/>
      <c r="D14" s="28"/>
      <c r="E14" s="28"/>
      <c r="F14" s="56">
        <v>0</v>
      </c>
      <c r="G14" s="56">
        <v>0</v>
      </c>
      <c r="H14" s="57" t="s">
        <v>199</v>
      </c>
      <c r="I14" s="56">
        <v>0</v>
      </c>
      <c r="J14" s="32">
        <f t="shared" si="0"/>
        <v>0</v>
      </c>
    </row>
    <row r="15" spans="2:10" ht="21.75" customHeight="1" x14ac:dyDescent="0.2">
      <c r="B15" s="14">
        <v>8</v>
      </c>
      <c r="C15" s="28"/>
      <c r="D15" s="28"/>
      <c r="E15" s="28"/>
      <c r="F15" s="56">
        <v>0</v>
      </c>
      <c r="G15" s="56">
        <v>0</v>
      </c>
      <c r="H15" s="57" t="s">
        <v>199</v>
      </c>
      <c r="I15" s="56">
        <v>0</v>
      </c>
      <c r="J15" s="32">
        <f t="shared" si="0"/>
        <v>0</v>
      </c>
    </row>
    <row r="16" spans="2:10" ht="21.75" customHeight="1" x14ac:dyDescent="0.2">
      <c r="B16" s="14">
        <v>9</v>
      </c>
      <c r="C16" s="28"/>
      <c r="D16" s="28"/>
      <c r="E16" s="28"/>
      <c r="F16" s="56">
        <v>0</v>
      </c>
      <c r="G16" s="56">
        <v>0</v>
      </c>
      <c r="H16" s="57" t="s">
        <v>199</v>
      </c>
      <c r="I16" s="56">
        <v>0</v>
      </c>
      <c r="J16" s="32">
        <f t="shared" si="0"/>
        <v>0</v>
      </c>
    </row>
    <row r="17" spans="2:10" ht="21.75" customHeight="1" x14ac:dyDescent="0.2">
      <c r="B17" s="14">
        <v>10</v>
      </c>
      <c r="C17" s="28"/>
      <c r="D17" s="28"/>
      <c r="E17" s="28"/>
      <c r="F17" s="56">
        <v>0</v>
      </c>
      <c r="G17" s="56">
        <v>0</v>
      </c>
      <c r="H17" s="57" t="s">
        <v>199</v>
      </c>
      <c r="I17" s="56">
        <v>0</v>
      </c>
      <c r="J17" s="32">
        <f t="shared" si="0"/>
        <v>0</v>
      </c>
    </row>
    <row r="18" spans="2:10" ht="21.75" customHeight="1" x14ac:dyDescent="0.2">
      <c r="B18" s="14">
        <v>11</v>
      </c>
      <c r="C18" s="28"/>
      <c r="D18" s="28"/>
      <c r="E18" s="28"/>
      <c r="F18" s="56">
        <v>0</v>
      </c>
      <c r="G18" s="56">
        <v>0</v>
      </c>
      <c r="H18" s="57" t="s">
        <v>199</v>
      </c>
      <c r="I18" s="56">
        <v>0</v>
      </c>
      <c r="J18" s="32">
        <f t="shared" si="0"/>
        <v>0</v>
      </c>
    </row>
    <row r="19" spans="2:10" ht="21.75" customHeight="1" x14ac:dyDescent="0.2">
      <c r="B19" s="14">
        <v>12</v>
      </c>
      <c r="C19" s="28"/>
      <c r="D19" s="28"/>
      <c r="E19" s="28"/>
      <c r="F19" s="56">
        <v>0</v>
      </c>
      <c r="G19" s="56">
        <v>0</v>
      </c>
      <c r="H19" s="57" t="s">
        <v>199</v>
      </c>
      <c r="I19" s="56">
        <v>0</v>
      </c>
      <c r="J19" s="32">
        <f t="shared" si="0"/>
        <v>0</v>
      </c>
    </row>
    <row r="20" spans="2:10" ht="27.75" customHeight="1" x14ac:dyDescent="0.2">
      <c r="C20" s="54" t="s">
        <v>200</v>
      </c>
      <c r="I20" s="46">
        <f>SUM(I8:I19)</f>
        <v>5000000</v>
      </c>
      <c r="J20" s="46">
        <f>SUM(J8:J19)</f>
        <v>8900000</v>
      </c>
    </row>
    <row r="22" spans="2:10" ht="21.75" customHeight="1" x14ac:dyDescent="0.2">
      <c r="B22" s="1" t="s">
        <v>201</v>
      </c>
      <c r="C22" s="1"/>
      <c r="D22" s="1"/>
      <c r="E22" s="1"/>
      <c r="F22" s="1"/>
      <c r="G22" s="1"/>
      <c r="H22" s="1"/>
      <c r="I22" s="1"/>
      <c r="J22" s="1"/>
    </row>
    <row r="23" spans="2:10" ht="19.5" customHeight="1" x14ac:dyDescent="0.2">
      <c r="B23" s="75" t="s">
        <v>202</v>
      </c>
      <c r="C23" s="75"/>
      <c r="D23" s="75"/>
      <c r="E23" s="75"/>
      <c r="F23" s="75"/>
      <c r="G23" s="75"/>
      <c r="H23" s="75"/>
      <c r="I23" s="75"/>
      <c r="J23" s="75"/>
    </row>
    <row r="24" spans="2:10" ht="19.5" customHeight="1" x14ac:dyDescent="0.2">
      <c r="B24" s="75" t="s">
        <v>203</v>
      </c>
      <c r="C24" s="75"/>
      <c r="D24" s="75"/>
      <c r="E24" s="75"/>
      <c r="F24" s="75"/>
      <c r="G24" s="75"/>
      <c r="H24" s="75"/>
      <c r="I24" s="75"/>
      <c r="J24" s="75"/>
    </row>
    <row r="25" spans="2:10" ht="19.5" customHeight="1" x14ac:dyDescent="0.2">
      <c r="B25" s="75" t="s">
        <v>204</v>
      </c>
      <c r="C25" s="75"/>
      <c r="D25" s="75"/>
      <c r="E25" s="75"/>
      <c r="F25" s="75"/>
      <c r="G25" s="75"/>
      <c r="H25" s="75"/>
      <c r="I25" s="75"/>
      <c r="J25" s="75"/>
    </row>
    <row r="26" spans="2:10" ht="19.5" customHeight="1" x14ac:dyDescent="0.2">
      <c r="B26" s="75" t="s">
        <v>205</v>
      </c>
      <c r="C26" s="75"/>
      <c r="D26" s="75"/>
      <c r="E26" s="75"/>
      <c r="F26" s="75"/>
      <c r="G26" s="75"/>
      <c r="H26" s="75"/>
      <c r="I26" s="75"/>
      <c r="J26" s="75"/>
    </row>
  </sheetData>
  <mergeCells count="8">
    <mergeCell ref="B24:J24"/>
    <mergeCell ref="B25:J25"/>
    <mergeCell ref="B26:J26"/>
    <mergeCell ref="B2:J2"/>
    <mergeCell ref="B3:J3"/>
    <mergeCell ref="B5:C5"/>
    <mergeCell ref="B22:J22"/>
    <mergeCell ref="B23:J23"/>
  </mergeCells>
  <hyperlinks>
    <hyperlink ref="B5" r:id="rId1" location="'01_Menu'!A1" xr:uid="{00000000-0004-0000-0500-000000000000}"/>
  </hyperlinks>
  <pageMargins left="0.75" right="0.75" top="1" bottom="1" header="0.511811023622047" footer="0.511811023622047"/>
  <pageSetup paperSize="9" orientation="portrait" horizontalDpi="300" verticalDpi="30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9A961"/>
  </sheetPr>
  <dimension ref="B2:G24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5" customWidth="1"/>
    <col min="3" max="3" width="50" customWidth="1"/>
    <col min="4" max="4" width="18" customWidth="1"/>
    <col min="5" max="5" width="6" customWidth="1"/>
    <col min="6" max="6" width="40" customWidth="1"/>
    <col min="7" max="7" width="26" customWidth="1"/>
  </cols>
  <sheetData>
    <row r="2" spans="2:7" ht="30" customHeight="1" x14ac:dyDescent="0.2">
      <c r="B2" s="12" t="s">
        <v>206</v>
      </c>
      <c r="C2" s="12"/>
      <c r="D2" s="12"/>
      <c r="E2" s="12"/>
      <c r="F2" s="12"/>
      <c r="G2" s="12"/>
    </row>
    <row r="3" spans="2:7" ht="21.75" customHeight="1" x14ac:dyDescent="0.2">
      <c r="B3" s="3" t="s">
        <v>207</v>
      </c>
      <c r="C3" s="3"/>
      <c r="D3" s="3"/>
      <c r="E3" s="3"/>
      <c r="F3" s="3"/>
      <c r="G3" s="3"/>
    </row>
    <row r="4" spans="2:7" ht="24" customHeight="1" x14ac:dyDescent="0.2">
      <c r="C4" s="33" t="s">
        <v>208</v>
      </c>
      <c r="D4" s="33" t="s">
        <v>209</v>
      </c>
      <c r="E4" s="33" t="s">
        <v>67</v>
      </c>
      <c r="F4" s="33" t="s">
        <v>210</v>
      </c>
      <c r="G4" s="33" t="s">
        <v>211</v>
      </c>
    </row>
    <row r="5" spans="2:7" ht="24" customHeight="1" x14ac:dyDescent="0.2">
      <c r="B5" s="17" t="s">
        <v>56</v>
      </c>
      <c r="C5" s="30" t="s">
        <v>212</v>
      </c>
      <c r="D5" s="58">
        <v>9.7199999999999995E-2</v>
      </c>
      <c r="E5" s="29" t="s">
        <v>76</v>
      </c>
      <c r="F5" s="22" t="s">
        <v>213</v>
      </c>
      <c r="G5" s="59">
        <v>46113</v>
      </c>
    </row>
    <row r="6" spans="2:7" ht="24" customHeight="1" x14ac:dyDescent="0.2">
      <c r="B6" s="17" t="s">
        <v>56</v>
      </c>
      <c r="C6" s="30" t="s">
        <v>214</v>
      </c>
      <c r="D6" s="60">
        <f>(1+D5)^(1/12)-1</f>
        <v>7.7600778778805779E-3</v>
      </c>
      <c r="E6" s="17" t="s">
        <v>215</v>
      </c>
      <c r="F6" s="22" t="s">
        <v>216</v>
      </c>
      <c r="G6" s="61"/>
    </row>
    <row r="7" spans="2:7" ht="24" customHeight="1" x14ac:dyDescent="0.2">
      <c r="B7" s="17" t="s">
        <v>56</v>
      </c>
      <c r="C7" s="30" t="s">
        <v>217</v>
      </c>
      <c r="D7" s="62">
        <v>1.08</v>
      </c>
      <c r="E7" s="17" t="s">
        <v>80</v>
      </c>
      <c r="F7" s="22" t="s">
        <v>218</v>
      </c>
      <c r="G7" s="59">
        <v>45916</v>
      </c>
    </row>
    <row r="8" spans="2:7" ht="24" customHeight="1" x14ac:dyDescent="0.2">
      <c r="B8" s="17" t="s">
        <v>56</v>
      </c>
      <c r="C8" s="30" t="s">
        <v>219</v>
      </c>
      <c r="D8" s="62">
        <v>1.23</v>
      </c>
      <c r="E8" s="17" t="s">
        <v>80</v>
      </c>
      <c r="F8" s="22" t="s">
        <v>218</v>
      </c>
      <c r="G8" s="59">
        <v>45916</v>
      </c>
    </row>
    <row r="9" spans="2:7" ht="24" customHeight="1" x14ac:dyDescent="0.2">
      <c r="B9" s="17" t="s">
        <v>56</v>
      </c>
      <c r="C9" s="30" t="s">
        <v>220</v>
      </c>
      <c r="D9" s="58">
        <v>0.03</v>
      </c>
      <c r="E9" s="17" t="s">
        <v>76</v>
      </c>
      <c r="F9" s="22" t="s">
        <v>221</v>
      </c>
      <c r="G9" s="59">
        <v>46023</v>
      </c>
    </row>
    <row r="10" spans="2:7" ht="24" customHeight="1" x14ac:dyDescent="0.2">
      <c r="B10" s="17" t="s">
        <v>56</v>
      </c>
      <c r="C10" s="30" t="s">
        <v>222</v>
      </c>
      <c r="D10" s="63">
        <v>16500</v>
      </c>
      <c r="E10" s="17" t="s">
        <v>223</v>
      </c>
      <c r="F10" s="22" t="s">
        <v>224</v>
      </c>
      <c r="G10" s="59">
        <v>46167</v>
      </c>
    </row>
    <row r="11" spans="2:7" ht="24" customHeight="1" x14ac:dyDescent="0.2">
      <c r="B11" s="17" t="s">
        <v>56</v>
      </c>
      <c r="C11" s="30" t="s">
        <v>225</v>
      </c>
      <c r="D11" s="60">
        <f>(1+D9)^(1/12)-1</f>
        <v>2.4662697723036864E-3</v>
      </c>
      <c r="E11" s="17" t="s">
        <v>215</v>
      </c>
      <c r="F11" s="22" t="s">
        <v>226</v>
      </c>
      <c r="G11" s="61"/>
    </row>
    <row r="12" spans="2:7" ht="24" customHeight="1" x14ac:dyDescent="0.2">
      <c r="B12" s="17" t="s">
        <v>56</v>
      </c>
      <c r="C12" s="30" t="s">
        <v>227</v>
      </c>
      <c r="D12" s="58">
        <v>0.12</v>
      </c>
      <c r="E12" s="17" t="s">
        <v>88</v>
      </c>
      <c r="F12" s="22" t="s">
        <v>228</v>
      </c>
      <c r="G12" s="59">
        <v>45658</v>
      </c>
    </row>
    <row r="13" spans="2:7" ht="24" customHeight="1" x14ac:dyDescent="0.2">
      <c r="B13" s="17" t="s">
        <v>56</v>
      </c>
      <c r="C13" s="30" t="s">
        <v>229</v>
      </c>
      <c r="D13" s="58">
        <v>0.22</v>
      </c>
      <c r="E13" s="17" t="s">
        <v>88</v>
      </c>
      <c r="F13" s="22" t="s">
        <v>230</v>
      </c>
      <c r="G13" s="59">
        <v>44562</v>
      </c>
    </row>
    <row r="14" spans="2:7" ht="24" customHeight="1" x14ac:dyDescent="0.2">
      <c r="B14" s="17" t="s">
        <v>56</v>
      </c>
      <c r="C14" s="30" t="s">
        <v>231</v>
      </c>
      <c r="D14" s="58">
        <v>0.02</v>
      </c>
      <c r="E14" s="17" t="s">
        <v>88</v>
      </c>
      <c r="F14" s="22" t="s">
        <v>232</v>
      </c>
      <c r="G14" s="59">
        <v>44562</v>
      </c>
    </row>
    <row r="15" spans="2:7" ht="24" customHeight="1" x14ac:dyDescent="0.2">
      <c r="B15" s="17" t="s">
        <v>56</v>
      </c>
      <c r="C15" s="30" t="s">
        <v>233</v>
      </c>
      <c r="D15" s="63">
        <v>70</v>
      </c>
      <c r="E15" s="17" t="s">
        <v>234</v>
      </c>
      <c r="F15" s="22" t="s">
        <v>235</v>
      </c>
      <c r="G15" s="59">
        <v>45292</v>
      </c>
    </row>
    <row r="16" spans="2:7" ht="24" customHeight="1" x14ac:dyDescent="0.2">
      <c r="B16" s="17" t="s">
        <v>56</v>
      </c>
      <c r="C16" s="30" t="s">
        <v>236</v>
      </c>
      <c r="D16" s="63">
        <v>40</v>
      </c>
      <c r="E16" s="17" t="s">
        <v>234</v>
      </c>
      <c r="F16" s="22" t="s">
        <v>235</v>
      </c>
      <c r="G16" s="59">
        <v>45292</v>
      </c>
    </row>
    <row r="17" spans="2:7" ht="24" customHeight="1" x14ac:dyDescent="0.2">
      <c r="B17" s="17" t="s">
        <v>56</v>
      </c>
      <c r="C17" s="30" t="s">
        <v>237</v>
      </c>
      <c r="D17" s="58">
        <v>9.4E-2</v>
      </c>
      <c r="E17" s="17" t="s">
        <v>76</v>
      </c>
      <c r="F17" s="22" t="s">
        <v>238</v>
      </c>
      <c r="G17" s="59">
        <v>46143</v>
      </c>
    </row>
    <row r="19" spans="2:7" ht="21.75" customHeight="1" x14ac:dyDescent="0.2">
      <c r="B19" s="1" t="s">
        <v>239</v>
      </c>
      <c r="C19" s="1"/>
      <c r="D19" s="1"/>
      <c r="E19" s="1"/>
      <c r="F19" s="1"/>
      <c r="G19" s="1"/>
    </row>
    <row r="20" spans="2:7" ht="21.75" customHeight="1" x14ac:dyDescent="0.2">
      <c r="B20" s="75" t="s">
        <v>240</v>
      </c>
      <c r="C20" s="75"/>
      <c r="D20" s="75"/>
      <c r="E20" s="75"/>
      <c r="F20" s="75"/>
      <c r="G20" s="75"/>
    </row>
    <row r="21" spans="2:7" ht="21.75" customHeight="1" x14ac:dyDescent="0.2">
      <c r="B21" s="75" t="s">
        <v>241</v>
      </c>
      <c r="C21" s="75"/>
      <c r="D21" s="75"/>
      <c r="E21" s="75"/>
      <c r="F21" s="75"/>
      <c r="G21" s="75"/>
    </row>
    <row r="22" spans="2:7" ht="21.75" customHeight="1" x14ac:dyDescent="0.2">
      <c r="B22" s="75" t="s">
        <v>242</v>
      </c>
      <c r="C22" s="75"/>
      <c r="D22" s="75"/>
      <c r="E22" s="75"/>
      <c r="F22" s="75"/>
      <c r="G22" s="75"/>
    </row>
    <row r="23" spans="2:7" ht="21.75" customHeight="1" x14ac:dyDescent="0.2">
      <c r="B23" s="75" t="s">
        <v>243</v>
      </c>
      <c r="C23" s="75"/>
      <c r="D23" s="75"/>
      <c r="E23" s="75"/>
      <c r="F23" s="75"/>
      <c r="G23" s="75"/>
    </row>
    <row r="24" spans="2:7" ht="21.75" customHeight="1" x14ac:dyDescent="0.2">
      <c r="B24" s="75" t="s">
        <v>244</v>
      </c>
      <c r="C24" s="75"/>
      <c r="D24" s="75"/>
      <c r="E24" s="75"/>
      <c r="F24" s="75"/>
      <c r="G24" s="75"/>
    </row>
  </sheetData>
  <mergeCells count="8">
    <mergeCell ref="B22:G22"/>
    <mergeCell ref="B23:G23"/>
    <mergeCell ref="B24:G24"/>
    <mergeCell ref="B2:G2"/>
    <mergeCell ref="B3:G3"/>
    <mergeCell ref="B19:G19"/>
    <mergeCell ref="B20:G20"/>
    <mergeCell ref="B21:G2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392B"/>
  </sheetPr>
  <dimension ref="B2:S40"/>
  <sheetViews>
    <sheetView showGridLines="0" tabSelected="1" zoomScaleNormal="100" workbookViewId="0">
      <pane xSplit="5" ySplit="10" topLeftCell="F11" activePane="bottomRight" state="frozen"/>
      <selection pane="topRight" activeCell="F1" sqref="F1"/>
      <selection pane="bottomLeft" activeCell="A11" sqref="A11"/>
      <selection pane="bottomRight" activeCell="S22" sqref="S22"/>
    </sheetView>
  </sheetViews>
  <sheetFormatPr baseColWidth="10" defaultColWidth="8.6640625" defaultRowHeight="15" x14ac:dyDescent="0.2"/>
  <cols>
    <col min="1" max="1" width="3" customWidth="1"/>
    <col min="2" max="2" width="5" customWidth="1"/>
    <col min="3" max="3" width="30" customWidth="1"/>
    <col min="4" max="4" width="8" customWidth="1"/>
    <col min="5" max="5" width="14" customWidth="1"/>
    <col min="6" max="17" width="13" customWidth="1"/>
    <col min="18" max="19" width="16" customWidth="1"/>
  </cols>
  <sheetData>
    <row r="2" spans="2:19" ht="30" customHeight="1" x14ac:dyDescent="0.2">
      <c r="B2" s="12" t="s">
        <v>245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2:19" ht="21.75" customHeight="1" x14ac:dyDescent="0.2">
      <c r="B3" s="3" t="s">
        <v>246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5" spans="2:19" ht="20.25" customHeight="1" x14ac:dyDescent="0.2">
      <c r="B5" s="2" t="s">
        <v>101</v>
      </c>
      <c r="C5" s="2"/>
      <c r="E5" s="42" t="s">
        <v>247</v>
      </c>
      <c r="F5" s="64">
        <f>'01_Menu'!C10</f>
        <v>12</v>
      </c>
      <c r="H5" s="42" t="s">
        <v>248</v>
      </c>
      <c r="I5" s="52">
        <f>'06_Asumsi'!D6</f>
        <v>7.7600778778805779E-3</v>
      </c>
      <c r="K5" s="42" t="s">
        <v>249</v>
      </c>
      <c r="L5" s="52">
        <f>'06_Asumsi'!D5</f>
        <v>9.7199999999999995E-2</v>
      </c>
    </row>
    <row r="8" spans="2:19" ht="24" customHeight="1" x14ac:dyDescent="0.2">
      <c r="C8" s="33" t="s">
        <v>250</v>
      </c>
      <c r="E8" s="33" t="s">
        <v>251</v>
      </c>
      <c r="F8" s="33" t="s">
        <v>252</v>
      </c>
      <c r="G8" s="33" t="s">
        <v>253</v>
      </c>
      <c r="H8" s="33" t="s">
        <v>254</v>
      </c>
      <c r="I8" s="33" t="s">
        <v>255</v>
      </c>
      <c r="J8" s="33" t="s">
        <v>256</v>
      </c>
      <c r="K8" s="33" t="s">
        <v>257</v>
      </c>
      <c r="L8" s="33" t="s">
        <v>258</v>
      </c>
      <c r="M8" s="33" t="s">
        <v>259</v>
      </c>
      <c r="N8" s="33" t="s">
        <v>260</v>
      </c>
      <c r="O8" s="33" t="s">
        <v>261</v>
      </c>
      <c r="P8" s="33" t="s">
        <v>262</v>
      </c>
      <c r="Q8" s="33" t="s">
        <v>263</v>
      </c>
      <c r="R8" s="33" t="s">
        <v>264</v>
      </c>
      <c r="S8" s="33" t="s">
        <v>264</v>
      </c>
    </row>
    <row r="9" spans="2:19" ht="20.25" customHeight="1" x14ac:dyDescent="0.2">
      <c r="C9" s="30" t="s">
        <v>265</v>
      </c>
      <c r="F9" s="65">
        <f>'01_Menu'!C9</f>
        <v>46174</v>
      </c>
      <c r="G9" s="65">
        <f>EDATE($F$9,1)</f>
        <v>46204</v>
      </c>
      <c r="H9" s="65">
        <f>EDATE($F$9,2)</f>
        <v>46235</v>
      </c>
      <c r="I9" s="65">
        <f>EDATE($F$9,3)</f>
        <v>46266</v>
      </c>
      <c r="J9" s="65">
        <f>EDATE($F$9,4)</f>
        <v>46296</v>
      </c>
      <c r="K9" s="65">
        <f>EDATE($F$9,5)</f>
        <v>46327</v>
      </c>
      <c r="L9" s="65">
        <f>EDATE($F$9,6)</f>
        <v>46357</v>
      </c>
      <c r="M9" s="65">
        <f>EDATE($F$9,7)</f>
        <v>46388</v>
      </c>
      <c r="N9" s="65">
        <f>EDATE($F$9,8)</f>
        <v>46419</v>
      </c>
      <c r="O9" s="65">
        <f>EDATE($F$9,9)</f>
        <v>46447</v>
      </c>
      <c r="P9" s="65">
        <f>EDATE($F$9,10)</f>
        <v>46478</v>
      </c>
      <c r="Q9" s="65">
        <f>EDATE($F$9,11)</f>
        <v>46508</v>
      </c>
      <c r="R9" s="65">
        <f>EDATE($F$9,12)</f>
        <v>46539</v>
      </c>
    </row>
    <row r="10" spans="2:19" ht="15" customHeight="1" x14ac:dyDescent="0.2">
      <c r="C10" s="22" t="s">
        <v>266</v>
      </c>
      <c r="F10" s="66">
        <f>1</f>
        <v>1</v>
      </c>
      <c r="G10" s="66">
        <f>IF(1&lt;=$F$5,1,0)</f>
        <v>1</v>
      </c>
      <c r="H10" s="66">
        <f>IF(2&lt;=$F$5,1,0)</f>
        <v>1</v>
      </c>
      <c r="I10" s="66">
        <f>IF(3&lt;=$F$5,1,0)</f>
        <v>1</v>
      </c>
      <c r="J10" s="66">
        <f>IF(4&lt;=$F$5,1,0)</f>
        <v>1</v>
      </c>
      <c r="K10" s="66">
        <f>IF(5&lt;=$F$5,1,0)</f>
        <v>1</v>
      </c>
      <c r="L10" s="66">
        <f>IF(6&lt;=$F$5,1,0)</f>
        <v>1</v>
      </c>
      <c r="M10" s="66">
        <f>IF(7&lt;=$F$5,1,0)</f>
        <v>1</v>
      </c>
      <c r="N10" s="66">
        <f>IF(8&lt;=$F$5,1,0)</f>
        <v>1</v>
      </c>
      <c r="O10" s="66">
        <f>IF(9&lt;=$F$5,1,0)</f>
        <v>1</v>
      </c>
      <c r="P10" s="66">
        <f>IF(10&lt;=$F$5,1,0)</f>
        <v>1</v>
      </c>
      <c r="Q10" s="66">
        <f>IF(11&lt;=$F$5,1,0)</f>
        <v>1</v>
      </c>
      <c r="R10" s="66">
        <f>IF(12&lt;=$F$5,1,0)</f>
        <v>1</v>
      </c>
    </row>
    <row r="12" spans="2:19" ht="21.75" customHeight="1" x14ac:dyDescent="0.2">
      <c r="C12" s="1" t="s">
        <v>267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2:19" ht="15" customHeight="1" x14ac:dyDescent="0.2">
      <c r="B13" s="34"/>
      <c r="C13" s="30" t="s">
        <v>268</v>
      </c>
      <c r="D13" s="34"/>
      <c r="E13" s="67" t="s">
        <v>269</v>
      </c>
      <c r="F13" s="32">
        <f>0</f>
        <v>0</v>
      </c>
      <c r="G13" s="32">
        <f>G10*'05_Pendapatan'!$J$20</f>
        <v>8900000</v>
      </c>
      <c r="H13" s="32">
        <f>H10*'05_Pendapatan'!$J$20</f>
        <v>8900000</v>
      </c>
      <c r="I13" s="32">
        <f>I10*'05_Pendapatan'!$J$20</f>
        <v>8900000</v>
      </c>
      <c r="J13" s="32">
        <f>J10*'05_Pendapatan'!$J$20</f>
        <v>8900000</v>
      </c>
      <c r="K13" s="32">
        <f>K10*'05_Pendapatan'!$J$20</f>
        <v>8900000</v>
      </c>
      <c r="L13" s="32">
        <f>L10*'05_Pendapatan'!$J$20</f>
        <v>8900000</v>
      </c>
      <c r="M13" s="32">
        <f>M10*'05_Pendapatan'!$J$20</f>
        <v>8900000</v>
      </c>
      <c r="N13" s="32">
        <f>N10*'05_Pendapatan'!$J$20</f>
        <v>8900000</v>
      </c>
      <c r="O13" s="32">
        <f>O10*'05_Pendapatan'!$J$20</f>
        <v>8900000</v>
      </c>
      <c r="P13" s="32">
        <f>P10*'05_Pendapatan'!$J$20</f>
        <v>8900000</v>
      </c>
      <c r="Q13" s="32">
        <f>Q10*'05_Pendapatan'!$J$20</f>
        <v>8900000</v>
      </c>
      <c r="R13" s="32">
        <f>R10*'05_Pendapatan'!$J$20</f>
        <v>8900000</v>
      </c>
      <c r="S13" s="32">
        <f>SUM(F13:R13)</f>
        <v>106800000</v>
      </c>
    </row>
    <row r="14" spans="2:19" ht="15" customHeight="1" x14ac:dyDescent="0.2">
      <c r="B14" s="34"/>
      <c r="C14" s="30" t="s">
        <v>270</v>
      </c>
      <c r="D14" s="34"/>
      <c r="E14" s="67" t="s">
        <v>271</v>
      </c>
      <c r="F14" s="32">
        <f>0</f>
        <v>0</v>
      </c>
      <c r="G14" s="32">
        <f>G10*'05_Pendapatan'!$I$20</f>
        <v>5000000</v>
      </c>
      <c r="H14" s="32">
        <f>0</f>
        <v>0</v>
      </c>
      <c r="I14" s="32">
        <f>0</f>
        <v>0</v>
      </c>
      <c r="J14" s="32">
        <f>0</f>
        <v>0</v>
      </c>
      <c r="K14" s="32">
        <f>0</f>
        <v>0</v>
      </c>
      <c r="L14" s="32">
        <f>0</f>
        <v>0</v>
      </c>
      <c r="M14" s="32">
        <f>0</f>
        <v>0</v>
      </c>
      <c r="N14" s="32">
        <f>0</f>
        <v>0</v>
      </c>
      <c r="O14" s="32">
        <f>0</f>
        <v>0</v>
      </c>
      <c r="P14" s="32">
        <f>0</f>
        <v>0</v>
      </c>
      <c r="Q14" s="32">
        <f>0</f>
        <v>0</v>
      </c>
      <c r="R14" s="32">
        <f>0</f>
        <v>0</v>
      </c>
      <c r="S14" s="32">
        <f>SUM(F14:R14)</f>
        <v>5000000</v>
      </c>
    </row>
    <row r="15" spans="2:19" ht="15" customHeight="1" x14ac:dyDescent="0.2">
      <c r="B15" s="34"/>
      <c r="C15" s="47" t="s">
        <v>272</v>
      </c>
      <c r="D15" s="34"/>
      <c r="E15" s="34"/>
      <c r="F15" s="68">
        <f t="shared" ref="F15:R15" si="0">F13+F14</f>
        <v>0</v>
      </c>
      <c r="G15" s="68">
        <f t="shared" si="0"/>
        <v>13900000</v>
      </c>
      <c r="H15" s="68">
        <f t="shared" si="0"/>
        <v>8900000</v>
      </c>
      <c r="I15" s="68">
        <f t="shared" si="0"/>
        <v>8900000</v>
      </c>
      <c r="J15" s="68">
        <f t="shared" si="0"/>
        <v>8900000</v>
      </c>
      <c r="K15" s="68">
        <f t="shared" si="0"/>
        <v>8900000</v>
      </c>
      <c r="L15" s="68">
        <f t="shared" si="0"/>
        <v>8900000</v>
      </c>
      <c r="M15" s="68">
        <f t="shared" si="0"/>
        <v>8900000</v>
      </c>
      <c r="N15" s="68">
        <f t="shared" si="0"/>
        <v>8900000</v>
      </c>
      <c r="O15" s="68">
        <f t="shared" si="0"/>
        <v>8900000</v>
      </c>
      <c r="P15" s="68">
        <f t="shared" si="0"/>
        <v>8900000</v>
      </c>
      <c r="Q15" s="68">
        <f t="shared" si="0"/>
        <v>8900000</v>
      </c>
      <c r="R15" s="68">
        <f t="shared" si="0"/>
        <v>8900000</v>
      </c>
      <c r="S15" s="68">
        <f>SUM(F15:R15)</f>
        <v>111800000</v>
      </c>
    </row>
    <row r="17" spans="2:19" ht="21.75" customHeight="1" x14ac:dyDescent="0.2">
      <c r="C17" s="1" t="s">
        <v>273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2:19" ht="21.75" customHeight="1" x14ac:dyDescent="0.2">
      <c r="B18" s="34"/>
      <c r="C18" s="30" t="s">
        <v>274</v>
      </c>
      <c r="D18" s="34"/>
      <c r="E18" s="67" t="s">
        <v>275</v>
      </c>
      <c r="F18" s="32">
        <f>0</f>
        <v>0</v>
      </c>
      <c r="G18" s="32">
        <f>G10*'04_OPEX_Bulanan'!F$15</f>
        <v>2670000</v>
      </c>
      <c r="H18" s="32">
        <f>H10*'04_OPEX_Bulanan'!G$15</f>
        <v>2670548.1257130387</v>
      </c>
      <c r="I18" s="32">
        <f>I10*'04_OPEX_Bulanan'!H$15</f>
        <v>2671096.3639510954</v>
      </c>
      <c r="J18" s="32">
        <f>J10*'04_OPEX_Bulanan'!I$15</f>
        <v>2671644.71473727</v>
      </c>
      <c r="K18" s="32">
        <f>K10*'04_OPEX_Bulanan'!J$15</f>
        <v>2672193.1780946683</v>
      </c>
      <c r="L18" s="32">
        <f>L10*'04_OPEX_Bulanan'!K$15</f>
        <v>2672741.7540463982</v>
      </c>
      <c r="M18" s="32">
        <f>M10*'04_OPEX_Bulanan'!L$15</f>
        <v>2673290.442615577</v>
      </c>
      <c r="N18" s="32">
        <f>N10*'04_OPEX_Bulanan'!M$15</f>
        <v>2673839.243825322</v>
      </c>
      <c r="O18" s="32">
        <f>O10*'04_OPEX_Bulanan'!N$15</f>
        <v>2674388.1576987579</v>
      </c>
      <c r="P18" s="32">
        <f>P10*'04_OPEX_Bulanan'!O$15</f>
        <v>2674937.1842590128</v>
      </c>
      <c r="Q18" s="32">
        <f>Q10*'04_OPEX_Bulanan'!P$15</f>
        <v>2675486.3235292211</v>
      </c>
      <c r="R18" s="32">
        <f>R10*'04_OPEX_Bulanan'!Q$15</f>
        <v>2676035.5755325216</v>
      </c>
      <c r="S18" s="32">
        <f>SUM(F18:R18)</f>
        <v>32076201.064002883</v>
      </c>
    </row>
    <row r="19" spans="2:19" ht="15" customHeight="1" x14ac:dyDescent="0.2">
      <c r="B19" s="34"/>
      <c r="C19" s="30" t="s">
        <v>276</v>
      </c>
      <c r="D19" s="34"/>
      <c r="E19" s="67" t="s">
        <v>277</v>
      </c>
      <c r="F19" s="32">
        <f>'03_CAPEX'!$D$20</f>
        <v>75000000</v>
      </c>
      <c r="G19" s="32">
        <f>0</f>
        <v>0</v>
      </c>
      <c r="H19" s="32">
        <f>0</f>
        <v>0</v>
      </c>
      <c r="I19" s="32">
        <f>0</f>
        <v>0</v>
      </c>
      <c r="J19" s="32">
        <f>0</f>
        <v>0</v>
      </c>
      <c r="K19" s="32">
        <f>0</f>
        <v>0</v>
      </c>
      <c r="L19" s="32">
        <f>0</f>
        <v>0</v>
      </c>
      <c r="M19" s="32">
        <f>0</f>
        <v>0</v>
      </c>
      <c r="N19" s="32">
        <f>0</f>
        <v>0</v>
      </c>
      <c r="O19" s="32">
        <f>0</f>
        <v>0</v>
      </c>
      <c r="P19" s="32">
        <f>0</f>
        <v>0</v>
      </c>
      <c r="Q19" s="32">
        <f>0</f>
        <v>0</v>
      </c>
      <c r="R19" s="32">
        <f>0</f>
        <v>0</v>
      </c>
      <c r="S19" s="32">
        <f>SUM(F19:R19)</f>
        <v>75000000</v>
      </c>
    </row>
    <row r="20" spans="2:19" ht="15" customHeight="1" x14ac:dyDescent="0.2">
      <c r="B20" s="34"/>
      <c r="C20" s="47" t="s">
        <v>278</v>
      </c>
      <c r="D20" s="34"/>
      <c r="E20" s="34"/>
      <c r="F20" s="68">
        <f t="shared" ref="F20:R20" si="1">F18+F19</f>
        <v>75000000</v>
      </c>
      <c r="G20" s="68">
        <f t="shared" si="1"/>
        <v>2670000</v>
      </c>
      <c r="H20" s="68">
        <f t="shared" si="1"/>
        <v>2670548.1257130387</v>
      </c>
      <c r="I20" s="68">
        <f t="shared" si="1"/>
        <v>2671096.3639510954</v>
      </c>
      <c r="J20" s="68">
        <f t="shared" si="1"/>
        <v>2671644.71473727</v>
      </c>
      <c r="K20" s="68">
        <f t="shared" si="1"/>
        <v>2672193.1780946683</v>
      </c>
      <c r="L20" s="68">
        <f t="shared" si="1"/>
        <v>2672741.7540463982</v>
      </c>
      <c r="M20" s="68">
        <f t="shared" si="1"/>
        <v>2673290.442615577</v>
      </c>
      <c r="N20" s="68">
        <f t="shared" si="1"/>
        <v>2673839.243825322</v>
      </c>
      <c r="O20" s="68">
        <f t="shared" si="1"/>
        <v>2674388.1576987579</v>
      </c>
      <c r="P20" s="68">
        <f t="shared" si="1"/>
        <v>2674937.1842590128</v>
      </c>
      <c r="Q20" s="68">
        <f t="shared" si="1"/>
        <v>2675486.3235292211</v>
      </c>
      <c r="R20" s="68">
        <f t="shared" si="1"/>
        <v>2676035.5755325216</v>
      </c>
      <c r="S20" s="68">
        <f>SUM(F20:R20)</f>
        <v>107076201.0640029</v>
      </c>
    </row>
    <row r="22" spans="2:19" ht="25.5" customHeight="1" x14ac:dyDescent="0.2">
      <c r="B22" s="69"/>
      <c r="C22" s="70" t="s">
        <v>279</v>
      </c>
      <c r="D22" s="69"/>
      <c r="E22" s="69"/>
      <c r="F22" s="71">
        <f t="shared" ref="F22:R22" si="2">F15-F20</f>
        <v>-75000000</v>
      </c>
      <c r="G22" s="71">
        <f t="shared" si="2"/>
        <v>11230000</v>
      </c>
      <c r="H22" s="71">
        <f t="shared" si="2"/>
        <v>6229451.8742869608</v>
      </c>
      <c r="I22" s="71">
        <f t="shared" si="2"/>
        <v>6228903.6360489046</v>
      </c>
      <c r="J22" s="71">
        <f t="shared" si="2"/>
        <v>6228355.28526273</v>
      </c>
      <c r="K22" s="71">
        <f t="shared" si="2"/>
        <v>6227806.8219053317</v>
      </c>
      <c r="L22" s="71">
        <f t="shared" si="2"/>
        <v>6227258.2459536018</v>
      </c>
      <c r="M22" s="71">
        <f t="shared" si="2"/>
        <v>6226709.557384423</v>
      </c>
      <c r="N22" s="71">
        <f t="shared" si="2"/>
        <v>6226160.756174678</v>
      </c>
      <c r="O22" s="71">
        <f t="shared" si="2"/>
        <v>6225611.8423012421</v>
      </c>
      <c r="P22" s="71">
        <f t="shared" si="2"/>
        <v>6225062.8157409877</v>
      </c>
      <c r="Q22" s="71">
        <f t="shared" si="2"/>
        <v>6224513.6764707789</v>
      </c>
      <c r="R22" s="71">
        <f t="shared" si="2"/>
        <v>6223964.4244674779</v>
      </c>
      <c r="S22" s="68">
        <f>SUM(F22:R22)</f>
        <v>4723798.9359971173</v>
      </c>
    </row>
    <row r="23" spans="2:19" ht="15" customHeight="1" x14ac:dyDescent="0.2">
      <c r="B23" s="34"/>
      <c r="C23" s="30" t="s">
        <v>280</v>
      </c>
      <c r="D23" s="34"/>
      <c r="E23" s="34"/>
      <c r="F23" s="32">
        <f>F22</f>
        <v>-75000000</v>
      </c>
      <c r="G23" s="32">
        <f t="shared" ref="G23:R23" si="3">F23+G22</f>
        <v>-63770000</v>
      </c>
      <c r="H23" s="32">
        <f t="shared" si="3"/>
        <v>-57540548.125713035</v>
      </c>
      <c r="I23" s="32">
        <f t="shared" si="3"/>
        <v>-51311644.48966413</v>
      </c>
      <c r="J23" s="32">
        <f t="shared" si="3"/>
        <v>-45083289.204401404</v>
      </c>
      <c r="K23" s="32">
        <f t="shared" si="3"/>
        <v>-38855482.382496074</v>
      </c>
      <c r="L23" s="32">
        <f t="shared" si="3"/>
        <v>-32628224.136542473</v>
      </c>
      <c r="M23" s="32">
        <f t="shared" si="3"/>
        <v>-26401514.579158049</v>
      </c>
      <c r="N23" s="32">
        <f t="shared" si="3"/>
        <v>-20175353.822983369</v>
      </c>
      <c r="O23" s="32">
        <f t="shared" si="3"/>
        <v>-13949741.980682127</v>
      </c>
      <c r="P23" s="32">
        <f t="shared" si="3"/>
        <v>-7724679.1649411395</v>
      </c>
      <c r="Q23" s="32">
        <f t="shared" si="3"/>
        <v>-1500165.4884703606</v>
      </c>
      <c r="R23" s="32">
        <f t="shared" si="3"/>
        <v>4723798.9359971173</v>
      </c>
    </row>
    <row r="26" spans="2:19" ht="21.75" customHeight="1" x14ac:dyDescent="0.2">
      <c r="C26" s="8" t="s">
        <v>281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2:19" ht="45.75" customHeight="1" x14ac:dyDescent="0.2">
      <c r="C27" s="20" t="s">
        <v>71</v>
      </c>
      <c r="N27" s="35">
        <f>XNPV($L$5,F22:R22,F9:R9)</f>
        <v>1044579.8381512119</v>
      </c>
      <c r="Q27" s="22" t="s">
        <v>282</v>
      </c>
    </row>
    <row r="28" spans="2:19" ht="45.75" customHeight="1" x14ac:dyDescent="0.2">
      <c r="C28" s="20" t="s">
        <v>75</v>
      </c>
      <c r="N28" s="37">
        <f>IFERROR(XIRR(F22:R22,F9:R9,0.1),0)</f>
        <v>0.12773048281669616</v>
      </c>
      <c r="Q28" s="22" t="s">
        <v>283</v>
      </c>
    </row>
    <row r="29" spans="2:19" ht="63.75" customHeight="1" x14ac:dyDescent="0.2">
      <c r="C29" s="20" t="s">
        <v>79</v>
      </c>
      <c r="N29" s="38">
        <f>IFERROR(XNPV($L$5,G15:R15,G9:R9)/ABS(F19),0)</f>
        <v>1.4316323201344083</v>
      </c>
      <c r="Q29" s="22" t="s">
        <v>284</v>
      </c>
    </row>
    <row r="30" spans="2:19" ht="45.75" customHeight="1" x14ac:dyDescent="0.2">
      <c r="C30" s="20" t="s">
        <v>285</v>
      </c>
      <c r="N30" s="72">
        <f>IFERROR(MATCH(TRUE(),G23:R23&gt;=0,0),0)</f>
        <v>0</v>
      </c>
      <c r="Q30" s="22" t="s">
        <v>286</v>
      </c>
    </row>
    <row r="31" spans="2:19" ht="45.75" customHeight="1" x14ac:dyDescent="0.2">
      <c r="C31" s="20" t="s">
        <v>287</v>
      </c>
      <c r="N31" s="37">
        <f>IFERROR(SUM(G22:R22)/ABS(F19),0)</f>
        <v>1.062983985813295</v>
      </c>
      <c r="Q31" s="22" t="s">
        <v>288</v>
      </c>
    </row>
    <row r="34" spans="3:17" ht="21.75" customHeight="1" x14ac:dyDescent="0.2">
      <c r="C34" s="76" t="s">
        <v>289</v>
      </c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</row>
    <row r="35" spans="3:17" ht="24" customHeight="1" x14ac:dyDescent="0.2">
      <c r="C35" s="77" t="s">
        <v>290</v>
      </c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</row>
    <row r="36" spans="3:17" ht="24" customHeight="1" x14ac:dyDescent="0.2">
      <c r="C36" s="77" t="s">
        <v>291</v>
      </c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</row>
    <row r="37" spans="3:17" ht="24" customHeight="1" x14ac:dyDescent="0.2">
      <c r="C37" s="77" t="s">
        <v>292</v>
      </c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</row>
    <row r="38" spans="3:17" ht="24" customHeight="1" x14ac:dyDescent="0.2">
      <c r="C38" s="77" t="s">
        <v>293</v>
      </c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</row>
    <row r="39" spans="3:17" ht="24" customHeight="1" x14ac:dyDescent="0.2">
      <c r="C39" s="77" t="s">
        <v>294</v>
      </c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</row>
    <row r="40" spans="3:17" ht="24" customHeight="1" x14ac:dyDescent="0.2">
      <c r="C40" s="77" t="s">
        <v>295</v>
      </c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</row>
  </sheetData>
  <mergeCells count="13">
    <mergeCell ref="C38:Q38"/>
    <mergeCell ref="C39:Q39"/>
    <mergeCell ref="C40:Q40"/>
    <mergeCell ref="C26:Q26"/>
    <mergeCell ref="C34:Q34"/>
    <mergeCell ref="C35:Q35"/>
    <mergeCell ref="C36:Q36"/>
    <mergeCell ref="C37:Q37"/>
    <mergeCell ref="B2:Q2"/>
    <mergeCell ref="B3:Q3"/>
    <mergeCell ref="B5:C5"/>
    <mergeCell ref="C12:Q12"/>
    <mergeCell ref="C17:Q17"/>
  </mergeCells>
  <hyperlinks>
    <hyperlink ref="B5" r:id="rId1" location="'01_Menu'!A1" xr:uid="{00000000-0004-0000-07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9A961"/>
    <pageSetUpPr fitToPage="1"/>
  </sheetPr>
  <dimension ref="B2:G42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4" customWidth="1"/>
    <col min="3" max="3" width="32" customWidth="1"/>
    <col min="4" max="4" width="18" customWidth="1"/>
    <col min="5" max="5" width="6" customWidth="1"/>
    <col min="6" max="6" width="32" customWidth="1"/>
    <col min="7" max="7" width="16" customWidth="1"/>
  </cols>
  <sheetData>
    <row r="2" spans="2:7" ht="30" customHeight="1" x14ac:dyDescent="0.2">
      <c r="B2" s="12" t="s">
        <v>296</v>
      </c>
      <c r="C2" s="12"/>
      <c r="D2" s="12"/>
      <c r="E2" s="12"/>
      <c r="F2" s="12"/>
      <c r="G2" s="12"/>
    </row>
    <row r="3" spans="2:7" ht="21.75" customHeight="1" x14ac:dyDescent="0.2">
      <c r="B3" s="11" t="s">
        <v>297</v>
      </c>
      <c r="C3" s="11"/>
      <c r="D3" s="11"/>
      <c r="E3" s="11"/>
      <c r="F3" s="11"/>
      <c r="G3" s="11"/>
    </row>
    <row r="5" spans="2:7" ht="15" customHeight="1" x14ac:dyDescent="0.2">
      <c r="B5" s="2" t="s">
        <v>101</v>
      </c>
      <c r="C5" s="2"/>
    </row>
    <row r="7" spans="2:7" ht="21.75" customHeight="1" x14ac:dyDescent="0.2">
      <c r="B7" s="9" t="s">
        <v>298</v>
      </c>
      <c r="C7" s="9"/>
      <c r="D7" s="9"/>
      <c r="E7" s="9"/>
      <c r="F7" s="9"/>
      <c r="G7" s="9"/>
    </row>
    <row r="8" spans="2:7" ht="21.75" customHeight="1" x14ac:dyDescent="0.2">
      <c r="B8" s="17" t="s">
        <v>56</v>
      </c>
      <c r="C8" s="30" t="s">
        <v>11</v>
      </c>
      <c r="D8" s="43" t="str">
        <f>'01_Menu'!C6</f>
        <v>(Isi nama proyek)</v>
      </c>
      <c r="E8" s="17" t="s">
        <v>299</v>
      </c>
      <c r="F8" s="30" t="s">
        <v>300</v>
      </c>
      <c r="G8" s="27" t="str">
        <f>'01_Menu'!C14</f>
        <v>(Nama Manager)</v>
      </c>
    </row>
    <row r="9" spans="2:7" ht="21.75" customHeight="1" x14ac:dyDescent="0.2">
      <c r="B9" s="17" t="s">
        <v>56</v>
      </c>
      <c r="C9" s="30" t="s">
        <v>14</v>
      </c>
      <c r="D9" s="43" t="str">
        <f>'01_Menu'!C7</f>
        <v>(Isi nama pelanggan)</v>
      </c>
      <c r="E9" s="17" t="s">
        <v>299</v>
      </c>
      <c r="F9" s="30" t="s">
        <v>301</v>
      </c>
      <c r="G9" s="27" t="str">
        <f>'01_Menu'!C15</f>
        <v>(Nama GM)</v>
      </c>
    </row>
    <row r="10" spans="2:7" ht="21.75" customHeight="1" x14ac:dyDescent="0.2">
      <c r="B10" s="17" t="s">
        <v>56</v>
      </c>
      <c r="C10" s="30" t="s">
        <v>17</v>
      </c>
      <c r="D10" s="27">
        <f>'01_Menu'!C8</f>
        <v>0</v>
      </c>
      <c r="E10" s="17" t="s">
        <v>299</v>
      </c>
      <c r="F10" s="30" t="s">
        <v>302</v>
      </c>
      <c r="G10" s="27" t="str">
        <f>'01_Menu'!C13</f>
        <v>Solar</v>
      </c>
    </row>
    <row r="11" spans="2:7" ht="21.75" customHeight="1" x14ac:dyDescent="0.2">
      <c r="B11" s="17" t="s">
        <v>56</v>
      </c>
      <c r="C11" s="30" t="s">
        <v>19</v>
      </c>
      <c r="D11" s="27">
        <f>'01_Menu'!C9</f>
        <v>46174</v>
      </c>
      <c r="E11" s="17" t="s">
        <v>299</v>
      </c>
      <c r="F11" s="30" t="s">
        <v>25</v>
      </c>
      <c r="G11" s="27" t="str">
        <f>'01_Menu'!C12</f>
        <v>(Nama Sales)</v>
      </c>
    </row>
    <row r="12" spans="2:7" ht="21.75" customHeight="1" x14ac:dyDescent="0.2">
      <c r="B12" s="17" t="s">
        <v>56</v>
      </c>
      <c r="C12" s="30" t="s">
        <v>303</v>
      </c>
      <c r="D12" s="43" t="str">
        <f>'01_Menu'!C10&amp;" bulan"</f>
        <v>12 bulan</v>
      </c>
      <c r="E12" s="17" t="s">
        <v>299</v>
      </c>
      <c r="F12" s="30" t="s">
        <v>304</v>
      </c>
      <c r="G12" s="43" t="str">
        <f ca="1">TEXT(TODAY(),"dd-mmm-yyyy")</f>
        <v>25-May-2026</v>
      </c>
    </row>
    <row r="13" spans="2:7" ht="21.75" customHeight="1" x14ac:dyDescent="0.2">
      <c r="B13" s="17" t="s">
        <v>56</v>
      </c>
      <c r="C13" s="30" t="s">
        <v>23</v>
      </c>
      <c r="D13" s="27">
        <f>'01_Menu'!C11</f>
        <v>46539</v>
      </c>
      <c r="E13" s="17" t="s">
        <v>299</v>
      </c>
      <c r="F13" s="30" t="s">
        <v>305</v>
      </c>
      <c r="G13" s="43" t="s">
        <v>306</v>
      </c>
    </row>
    <row r="15" spans="2:7" ht="21.75" customHeight="1" x14ac:dyDescent="0.2">
      <c r="B15" s="9" t="s">
        <v>307</v>
      </c>
      <c r="C15" s="9"/>
      <c r="D15" s="9"/>
      <c r="E15" s="9"/>
      <c r="F15" s="9"/>
      <c r="G15" s="9"/>
    </row>
    <row r="16" spans="2:7" ht="21.75" customHeight="1" x14ac:dyDescent="0.2">
      <c r="B16" s="17" t="s">
        <v>56</v>
      </c>
      <c r="C16" s="30" t="s">
        <v>308</v>
      </c>
      <c r="D16" s="32">
        <f>'03_CAPEX'!D20</f>
        <v>75000000</v>
      </c>
      <c r="E16" s="22" t="s">
        <v>72</v>
      </c>
    </row>
    <row r="17" spans="2:7" ht="21.75" customHeight="1" x14ac:dyDescent="0.2">
      <c r="B17" s="17" t="s">
        <v>56</v>
      </c>
      <c r="C17" s="30" t="s">
        <v>309</v>
      </c>
      <c r="D17" s="32">
        <f>'05_Pendapatan'!I20</f>
        <v>5000000</v>
      </c>
      <c r="E17" s="22" t="s">
        <v>72</v>
      </c>
    </row>
    <row r="18" spans="2:7" ht="21.75" customHeight="1" x14ac:dyDescent="0.2">
      <c r="B18" s="17" t="s">
        <v>56</v>
      </c>
      <c r="C18" s="30" t="s">
        <v>310</v>
      </c>
      <c r="D18" s="32">
        <f>'05_Pendapatan'!J20</f>
        <v>8900000</v>
      </c>
      <c r="E18" s="22" t="s">
        <v>311</v>
      </c>
    </row>
    <row r="19" spans="2:7" ht="21.75" customHeight="1" x14ac:dyDescent="0.2">
      <c r="B19" s="17" t="s">
        <v>56</v>
      </c>
      <c r="C19" s="30" t="s">
        <v>312</v>
      </c>
      <c r="D19" s="32">
        <f>AVERAGE('04_OPEX_Bulanan'!F15:Q15)</f>
        <v>2673016.7553335736</v>
      </c>
      <c r="E19" s="22" t="s">
        <v>311</v>
      </c>
    </row>
    <row r="20" spans="2:7" ht="21.75" customHeight="1" x14ac:dyDescent="0.2">
      <c r="B20" s="17" t="s">
        <v>56</v>
      </c>
      <c r="C20" s="30" t="s">
        <v>313</v>
      </c>
      <c r="D20" s="32">
        <f>'07_Cashflow_Bulanan'!S14</f>
        <v>5000000</v>
      </c>
      <c r="E20" s="22" t="s">
        <v>72</v>
      </c>
    </row>
    <row r="21" spans="2:7" ht="21.75" customHeight="1" x14ac:dyDescent="0.2">
      <c r="B21" s="17" t="s">
        <v>56</v>
      </c>
      <c r="C21" s="30" t="s">
        <v>62</v>
      </c>
      <c r="D21" s="32">
        <f>'07_Cashflow_Bulanan'!S19</f>
        <v>75000000</v>
      </c>
      <c r="E21" s="22" t="s">
        <v>72</v>
      </c>
    </row>
    <row r="22" spans="2:7" ht="21.75" customHeight="1" x14ac:dyDescent="0.2">
      <c r="B22" s="17" t="s">
        <v>56</v>
      </c>
      <c r="C22" s="30" t="s">
        <v>314</v>
      </c>
      <c r="D22" s="32">
        <f>'07_Cashflow_Bulanan'!S22-(-'07_Cashflow_Bulanan'!F22)</f>
        <v>-70276201.064002886</v>
      </c>
      <c r="E22" s="22" t="s">
        <v>72</v>
      </c>
    </row>
    <row r="24" spans="2:7" ht="21.75" customHeight="1" x14ac:dyDescent="0.2">
      <c r="B24" s="8" t="s">
        <v>315</v>
      </c>
      <c r="C24" s="8"/>
      <c r="D24" s="8"/>
      <c r="E24" s="8"/>
      <c r="F24" s="8"/>
      <c r="G24" s="8"/>
    </row>
    <row r="25" spans="2:7" ht="24" customHeight="1" x14ac:dyDescent="0.2">
      <c r="C25" s="33" t="s">
        <v>65</v>
      </c>
      <c r="D25" s="33" t="s">
        <v>66</v>
      </c>
      <c r="F25" s="33" t="s">
        <v>68</v>
      </c>
      <c r="G25" s="33" t="s">
        <v>69</v>
      </c>
    </row>
    <row r="26" spans="2:7" ht="24" customHeight="1" x14ac:dyDescent="0.2">
      <c r="B26" s="34"/>
      <c r="C26" s="20" t="s">
        <v>316</v>
      </c>
      <c r="D26" s="35">
        <f>'07_Cashflow_Bulanan'!N27</f>
        <v>1044579.8381512119</v>
      </c>
      <c r="E26" s="34"/>
      <c r="F26" s="73" t="s">
        <v>73</v>
      </c>
      <c r="G26" s="29" t="str">
        <f>IF(ISNUMBER(D26),IF(D26&gt;0,"LAYAK","TIDAK LAYAK"),"—")</f>
        <v>LAYAK</v>
      </c>
    </row>
    <row r="27" spans="2:7" ht="24" customHeight="1" x14ac:dyDescent="0.2">
      <c r="B27" s="34"/>
      <c r="C27" s="20" t="s">
        <v>317</v>
      </c>
      <c r="D27" s="37">
        <f>'07_Cashflow_Bulanan'!N28</f>
        <v>0.12773048281669616</v>
      </c>
      <c r="E27" s="34"/>
      <c r="F27" s="73" t="s">
        <v>77</v>
      </c>
      <c r="G27" s="29" t="str">
        <f>IF(ISNUMBER(D27),IF(D27&gt;'06_Asumsi'!D5,"LAYAK","TIDAK LAYAK"),"—")</f>
        <v>LAYAK</v>
      </c>
    </row>
    <row r="28" spans="2:7" ht="24" customHeight="1" x14ac:dyDescent="0.2">
      <c r="B28" s="34"/>
      <c r="C28" s="20" t="s">
        <v>318</v>
      </c>
      <c r="D28" s="38">
        <f>'07_Cashflow_Bulanan'!N29</f>
        <v>1.4316323201344083</v>
      </c>
      <c r="E28" s="34"/>
      <c r="F28" s="73" t="s">
        <v>319</v>
      </c>
      <c r="G28" s="29" t="str">
        <f>IF(ISNUMBER(D28),IF(D28&gt;='06_Asumsi'!D8,"LAYAK",IF(D28&gt;='06_Asumsi'!D7,"JUSTIFIKASI","TIDAK LAYAK")),"—")</f>
        <v>LAYAK</v>
      </c>
    </row>
    <row r="29" spans="2:7" ht="24" customHeight="1" x14ac:dyDescent="0.2">
      <c r="B29" s="34"/>
      <c r="C29" s="20" t="s">
        <v>83</v>
      </c>
      <c r="D29" s="72">
        <f>'07_Cashflow_Bulanan'!N30</f>
        <v>0</v>
      </c>
      <c r="E29" s="34"/>
      <c r="F29" s="73" t="s">
        <v>320</v>
      </c>
      <c r="G29" s="29" t="str">
        <f>IF(ISNUMBER(D29),IF(AND(D29&gt;0,D29&lt;'01_Menu'!C10),"LAYAK","WASPADA"),"—")</f>
        <v>WASPADA</v>
      </c>
    </row>
    <row r="30" spans="2:7" ht="24" customHeight="1" x14ac:dyDescent="0.2">
      <c r="B30" s="34"/>
      <c r="C30" s="20" t="s">
        <v>321</v>
      </c>
      <c r="D30" s="37">
        <f>'07_Cashflow_Bulanan'!N31</f>
        <v>1.062983985813295</v>
      </c>
      <c r="E30" s="34"/>
      <c r="F30" s="73" t="s">
        <v>89</v>
      </c>
      <c r="G30" s="29" t="str">
        <f>IF(ISNUMBER(D30),IF(D30&gt;0,"PROFIT","RUGI"),"—")</f>
        <v>PROFIT</v>
      </c>
    </row>
    <row r="32" spans="2:7" ht="25.5" customHeight="1" x14ac:dyDescent="0.2">
      <c r="B32" s="6" t="s">
        <v>322</v>
      </c>
      <c r="C32" s="6"/>
      <c r="D32" s="6"/>
      <c r="E32" s="6"/>
      <c r="F32" s="6"/>
      <c r="G32" s="6"/>
    </row>
    <row r="33" spans="2:7" ht="60" customHeight="1" x14ac:dyDescent="0.2">
      <c r="B33" s="78" t="str">
        <f>'01_Menu'!B44</f>
        <v>✓ INVESTASI LAYAK — Semua kriteria (NPV&gt;0, XIRR&gt;WACC, BCR≥1.23 Mandatory, Payback&lt;durasi) terpenuhi. Lanjutkan ke approval.</v>
      </c>
      <c r="C33" s="78"/>
      <c r="D33" s="78"/>
      <c r="E33" s="78"/>
      <c r="F33" s="78"/>
      <c r="G33" s="78"/>
    </row>
    <row r="35" spans="2:7" ht="21.75" customHeight="1" x14ac:dyDescent="0.2">
      <c r="B35" s="4" t="s">
        <v>323</v>
      </c>
      <c r="C35" s="4"/>
      <c r="D35" s="4"/>
      <c r="E35" s="4"/>
      <c r="F35" s="4"/>
      <c r="G35" s="4"/>
    </row>
    <row r="37" spans="2:7" ht="30" customHeight="1" x14ac:dyDescent="0.2">
      <c r="C37" s="40" t="s">
        <v>93</v>
      </c>
      <c r="E37" s="40" t="s">
        <v>94</v>
      </c>
      <c r="G37" s="40" t="s">
        <v>95</v>
      </c>
    </row>
    <row r="38" spans="2:7" ht="59.25" customHeight="1" x14ac:dyDescent="0.2">
      <c r="C38" s="41" t="s">
        <v>96</v>
      </c>
      <c r="E38" s="41" t="s">
        <v>97</v>
      </c>
      <c r="G38" s="41" t="s">
        <v>98</v>
      </c>
    </row>
    <row r="42" spans="2:7" ht="20.25" customHeight="1" x14ac:dyDescent="0.2">
      <c r="C42" s="74" t="str">
        <f>'01_Menu'!C13</f>
        <v>Solar</v>
      </c>
      <c r="E42" s="74" t="str">
        <f>'01_Menu'!C14</f>
        <v>(Nama Manager)</v>
      </c>
      <c r="G42" s="74" t="str">
        <f>'01_Menu'!C15</f>
        <v>(Nama GM)</v>
      </c>
    </row>
  </sheetData>
  <mergeCells count="9">
    <mergeCell ref="B24:G24"/>
    <mergeCell ref="B32:G32"/>
    <mergeCell ref="B33:G33"/>
    <mergeCell ref="B35:G35"/>
    <mergeCell ref="B2:G2"/>
    <mergeCell ref="B3:G3"/>
    <mergeCell ref="B5:C5"/>
    <mergeCell ref="B7:G7"/>
    <mergeCell ref="B15:G15"/>
  </mergeCells>
  <conditionalFormatting sqref="G26:G30">
    <cfRule type="cellIs" dxfId="5" priority="2" operator="equal">
      <formula>"LAYAK"</formula>
    </cfRule>
    <cfRule type="cellIs" dxfId="4" priority="3" operator="equal">
      <formula>"PROFIT"</formula>
    </cfRule>
    <cfRule type="cellIs" dxfId="3" priority="4" operator="equal">
      <formula>"TIDAK LAYAK"</formula>
    </cfRule>
    <cfRule type="cellIs" dxfId="2" priority="5" operator="equal">
      <formula>"RUGI"</formula>
    </cfRule>
    <cfRule type="cellIs" dxfId="1" priority="6" operator="equal">
      <formula>"JUSTIFIKASI"</formula>
    </cfRule>
    <cfRule type="cellIs" dxfId="0" priority="7" operator="equal">
      <formula>"WASPADA"</formula>
    </cfRule>
  </conditionalFormatting>
  <hyperlinks>
    <hyperlink ref="B5" r:id="rId1" location="'01_Menu'!A1" xr:uid="{00000000-0004-0000-0800-000000000000}"/>
  </hyperlinks>
  <pageMargins left="0.5" right="0.5" top="0.5" bottom="0.5" header="0.511811023622047" footer="0.511811023622047"/>
  <pageSetup paperSize="9" fitToHeight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CCD9C161B7D4AB7FBD3E1A378C415" ma:contentTypeVersion="17" ma:contentTypeDescription="Create a new document." ma:contentTypeScope="" ma:versionID="d110aee570530d7dc0473b964057b568">
  <xsd:schema xmlns:xsd="http://www.w3.org/2001/XMLSchema" xmlns:xs="http://www.w3.org/2001/XMLSchema" xmlns:p="http://schemas.microsoft.com/office/2006/metadata/properties" xmlns:ns2="c75e4fa7-2d94-4dfd-be56-5cbd7f514b2c" xmlns:ns3="fb429781-1f67-45cf-b12c-a6e1dab85842" targetNamespace="http://schemas.microsoft.com/office/2006/metadata/properties" ma:root="true" ma:fieldsID="65a196099f8e3b537b72cd95dde6f12f" ns2:_="" ns3:_="">
    <xsd:import namespace="c75e4fa7-2d94-4dfd-be56-5cbd7f514b2c"/>
    <xsd:import namespace="fb429781-1f67-45cf-b12c-a6e1dab858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e4fa7-2d94-4dfd-be56-5cbd7f514b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0a3f64d-e29e-4b39-844b-f62d213e95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429781-1f67-45cf-b12c-a6e1dab8584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092e131-8b99-42d3-bc84-417323fde748}" ma:internalName="TaxCatchAll" ma:showField="CatchAllData" ma:web="fb429781-1f67-45cf-b12c-a6e1dab858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75e4fa7-2d94-4dfd-be56-5cbd7f514b2c">
      <Terms xmlns="http://schemas.microsoft.com/office/infopath/2007/PartnerControls"/>
    </lcf76f155ced4ddcb4097134ff3c332f>
    <TaxCatchAll xmlns="fb429781-1f67-45cf-b12c-a6e1dab85842" xsi:nil="true"/>
  </documentManagement>
</p:properties>
</file>

<file path=customXml/itemProps1.xml><?xml version="1.0" encoding="utf-8"?>
<ds:datastoreItem xmlns:ds="http://schemas.openxmlformats.org/officeDocument/2006/customXml" ds:itemID="{E9B523F4-1C2E-490F-B766-FC615170B8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B19AEB-8ACB-48C5-95B9-19B4E8B2EE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5e4fa7-2d94-4dfd-be56-5cbd7f514b2c"/>
    <ds:schemaRef ds:uri="fb429781-1f67-45cf-b12c-a6e1dab858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5396A3-1689-45AC-8BEF-A7CC7C6F8E95}">
  <ds:schemaRefs>
    <ds:schemaRef ds:uri="http://purl.org/dc/elements/1.1/"/>
    <ds:schemaRef ds:uri="http://schemas.microsoft.com/office/2006/documentManagement/types"/>
    <ds:schemaRef ds:uri="c75e4fa7-2d94-4dfd-be56-5cbd7f514b2c"/>
    <ds:schemaRef ds:uri="http://purl.org/dc/terms/"/>
    <ds:schemaRef ds:uri="fb429781-1f67-45cf-b12c-a6e1dab85842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00_Histori</vt:lpstr>
      <vt:lpstr>01_Menu</vt:lpstr>
      <vt:lpstr>02_Inv_Details</vt:lpstr>
      <vt:lpstr>03_CAPEX</vt:lpstr>
      <vt:lpstr>04_OPEX_Bulanan</vt:lpstr>
      <vt:lpstr>05_Pendapatan</vt:lpstr>
      <vt:lpstr>06_Asumsi</vt:lpstr>
      <vt:lpstr>07_Cashflow_Bulanan</vt:lpstr>
      <vt:lpstr>08_Ex_Summary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Andi Ervan Surahmat</cp:lastModifiedBy>
  <cp:revision>0</cp:revision>
  <dcterms:created xsi:type="dcterms:W3CDTF">2026-05-25T03:36:21Z</dcterms:created>
  <dcterms:modified xsi:type="dcterms:W3CDTF">2026-05-25T04:08:31Z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0x010100E9DCCD9C161B7D4AB7FBD3E1A378C415</vt:lpwstr>
  </property>
</Properties>
</file>